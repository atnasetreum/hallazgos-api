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0"/>
  </bookViews>
  <sheets>
    <sheet sheetId="2" name="Guia entrenamiento Ver. 04 (2)" state="visible" r:id="rId4"/>
    <sheet sheetId="5" name="Sheet1" state="visible" r:id="rId5"/>
    <sheet sheetId="3" name="Hoja1" state="visible" r:id="rId6"/>
    <sheet sheetId="4" name="Hoja2" state="visible" r:id="rId7"/>
  </sheets>
  <definedNames>
    <definedName name="_xlnm.Print_Area" localSheetId="0">'Guia entrenamiento Ver. 04 (2)'!$A1:$I32</definedName>
  </definedNames>
  <calcPr calcId="171027"/>
</workbook>
</file>

<file path=xl/sharedStrings.xml><?xml version="1.0" encoding="utf-8"?>
<sst xmlns="http://schemas.openxmlformats.org/spreadsheetml/2006/main" count="216" uniqueCount="125">
  <si>
    <t xml:space="preserve">GUÍA DE ENTRENAMIENTO </t>
  </si>
  <si>
    <t xml:space="preserve">Código: RIE02
Versión: 01
Fecha:  2016-11-30</t>
  </si>
  <si>
    <t>DATOS DEL EMPLEADO</t>
  </si>
  <si>
    <t>NOMBRE</t>
  </si>
  <si>
    <t>FECHA INICIO ENTRENAMIENTO</t>
  </si>
  <si>
    <t>CARGO</t>
  </si>
  <si>
    <t xml:space="preserve"> ÁREA</t>
  </si>
  <si>
    <t>AGUILAR CAMACHO YURITZY AMEYALIN</t>
  </si>
  <si>
    <t>2025-12-17</t>
  </si>
  <si>
    <t>Operario General</t>
  </si>
  <si>
    <t>Producción</t>
  </si>
  <si>
    <t>TEMA</t>
  </si>
  <si>
    <t>FECHA</t>
  </si>
  <si>
    <t xml:space="preserve">DURACIÓN (horas) </t>
  </si>
  <si>
    <t>NOMBRE RESPONSABLE ENTRENAMIENTO</t>
  </si>
  <si>
    <t>EVALUACIÓN</t>
  </si>
  <si>
    <t>FIRMA EMPLEADO</t>
  </si>
  <si>
    <t>OBSERVACIONES</t>
  </si>
  <si>
    <t>Proceso Fabricación del jabón líquido/Solido/Hidroalcoholico Interactivo</t>
  </si>
  <si>
    <t>LOAIZA FRANCO DIEGO FERNANDO</t>
  </si>
  <si>
    <t>3</t>
  </si>
  <si>
    <t/>
  </si>
  <si>
    <t>Aspectos Seguridad Ocupacional: Levantamiento y movilización de cargas, Seguridad en la Exposición a Material Particulado, Seguridad en la Manipulación de Sustancias Químicas, Manejo de Equipos y Herramientas, Ruido, Almacenamiento y Bodegaje, Proyección de Partículas, Ergonomía Aplicada al Puesto de Trabajo</t>
  </si>
  <si>
    <t>ARRIETA MOSQUEDA OMAR ALFONSO</t>
  </si>
  <si>
    <t>Generalidades de Control de Calidad</t>
  </si>
  <si>
    <t>RAMIREZ LOPEZ RAMON</t>
  </si>
  <si>
    <t>Generalidades de Microbiología</t>
  </si>
  <si>
    <t>4</t>
  </si>
  <si>
    <t>Generalidades de Buenas Prácticas de Manufactura</t>
  </si>
  <si>
    <t>SALGADO GONZALEZ MARTHA GABRIELA</t>
  </si>
  <si>
    <t>2</t>
  </si>
  <si>
    <t>Defectología</t>
  </si>
  <si>
    <t>Manejo seguro de sustancias químicas (Operación y Manejo de Sustancias Quimicas)</t>
  </si>
  <si>
    <t>Uso y Manejo de Patrin Hidraulico</t>
  </si>
  <si>
    <t>Reprobado</t>
  </si>
  <si>
    <t>Sistema Integrado de Gestión</t>
  </si>
  <si>
    <t>5</t>
  </si>
  <si>
    <t>Manejo de Residuos</t>
  </si>
  <si>
    <t>Manejo de Derrames</t>
  </si>
  <si>
    <t>Limpieza y Sanitización</t>
  </si>
  <si>
    <t>ZUPPA FLAÑO ERNESTO</t>
  </si>
  <si>
    <t>Buenas Practicas de Documentación</t>
  </si>
  <si>
    <t>Manejo y disposición de residuos de Jabon</t>
  </si>
  <si>
    <t>LARIOS FRAGOSO KENIA DENISSE</t>
  </si>
  <si>
    <t>Alistamiento de los materiales y operación de empaque bajo los estandares de calidad</t>
  </si>
  <si>
    <t>ZUPPA FLAÑO ERNESTO / RODRIGUEZ HERNANDEZ ALEXIS</t>
  </si>
  <si>
    <t>Aprobado</t>
  </si>
  <si>
    <t>z1</t>
  </si>
  <si>
    <t>Manejo de Estibas y patron de arrume</t>
  </si>
  <si>
    <t>Manejo de maquina encintadora y funcionalidad para el sellado de cajas</t>
  </si>
  <si>
    <t>Principios y lineamientos para la correcta codificación e inspección de productos</t>
  </si>
  <si>
    <t>1 DE 2</t>
  </si>
  <si>
    <t>NOTA  DEFINITIVA</t>
  </si>
  <si>
    <r>
      <rPr/>
      <t xml:space="preserve">Nota: Si la evaluación de entrenamiento es teórica debe tenerla disponible en la empresa debidamente calificadas  por el instructor  como evidencia ante un proceso de auditoria interna o externa.
El rango de Calificaciones para el entrenamiento es de 1.0 a 5.0 distribuido en tres niveles: Nivel bajo: 1 - 2.9 (requiere reentrenamiento) Nivel Normal: 3.0 a 4.4  (entrenamiento aprobado) Nivel Sobresaliente: 4.5 - 5.0
“Hago constar que he recibido a plena satisfacción el anterior programa de entrenamiento y me comprometo a cumplir los temas allí relacionados para el logro de los objetivos organizacionales”.
</t>
    </r>
    <r>
      <rPr>
        <b/>
        <family val="2"/>
        <sz val="10"/>
        <rFont val="Arial"/>
      </rPr>
      <t>OBSERVACIÓN:</t>
    </r>
    <r>
      <rPr>
        <family val="2"/>
        <sz val="10"/>
        <rFont val="Arial"/>
      </rPr>
      <t xml:space="preserve"> Para la documentación que se utilizo en los temas relacionados de entrenamiento ver la matriz seguimiento documental entrenamientos ( Código: FGHDPFO01)  
</t>
    </r>
  </si>
  <si>
    <t>CONCEPTO JEFE DE ÁREA:</t>
  </si>
  <si>
    <t>FIRMA JEFE DE AREA</t>
  </si>
  <si>
    <t>FIRMA JEFE RECURSOS HUMANOS</t>
  </si>
  <si>
    <t>2 DE 2</t>
  </si>
  <si>
    <t>operatio</t>
  </si>
  <si>
    <t>omar</t>
  </si>
  <si>
    <t>montacargas</t>
  </si>
  <si>
    <t>Areas</t>
  </si>
  <si>
    <t>Estatus</t>
  </si>
  <si>
    <t>Personas</t>
  </si>
  <si>
    <t>Motivo</t>
  </si>
  <si>
    <t>Tesoreria</t>
  </si>
  <si>
    <t>ÑO</t>
  </si>
  <si>
    <t>No puede comer mole</t>
  </si>
  <si>
    <t>Innovacion</t>
  </si>
  <si>
    <t>OK</t>
  </si>
  <si>
    <t>Contabilidad e Impuestos</t>
  </si>
  <si>
    <t>Ingenieria</t>
  </si>
  <si>
    <t>Gestión Humana</t>
  </si>
  <si>
    <t>Proyectos</t>
  </si>
  <si>
    <t>Comercio Exterior</t>
  </si>
  <si>
    <t xml:space="preserve">Sistemas y Sistema de Gestión </t>
  </si>
  <si>
    <t>Logistica</t>
  </si>
  <si>
    <t xml:space="preserve">Calidad </t>
  </si>
  <si>
    <t>Empaques</t>
  </si>
  <si>
    <t>Kari de vacaciones</t>
  </si>
  <si>
    <t>Comercial</t>
  </si>
  <si>
    <t>Materiales</t>
  </si>
  <si>
    <t>Cantidad</t>
  </si>
  <si>
    <t>Columna1</t>
  </si>
  <si>
    <t>Columna2</t>
  </si>
  <si>
    <t>Columna3</t>
  </si>
  <si>
    <t>Hostapur OS Liquido</t>
  </si>
  <si>
    <t>L</t>
  </si>
  <si>
    <t>Glicerina</t>
  </si>
  <si>
    <t>Dietanolamida de coco</t>
  </si>
  <si>
    <t>Amphosol CS-50</t>
  </si>
  <si>
    <t>Fragancias de varios aromas</t>
  </si>
  <si>
    <t>Aceite mineral</t>
  </si>
  <si>
    <t>Tego betain F 50</t>
  </si>
  <si>
    <t>Ninol CAA</t>
  </si>
  <si>
    <t>Polyquaternium 7</t>
  </si>
  <si>
    <t>Dehyquart CC7</t>
  </si>
  <si>
    <t>Fenoxietanol</t>
  </si>
  <si>
    <t>Alcohol etílico 96°</t>
  </si>
  <si>
    <t>Tarimas de madera</t>
  </si>
  <si>
    <t>Kg</t>
  </si>
  <si>
    <t>Cartón</t>
  </si>
  <si>
    <t>Plástico</t>
  </si>
  <si>
    <t>Papel</t>
  </si>
  <si>
    <t>Mobiliario</t>
  </si>
  <si>
    <t>Tarimas de plástico</t>
  </si>
  <si>
    <t>PEG 40 Hidrogenado</t>
  </si>
  <si>
    <t>Sal tetrasódica</t>
  </si>
  <si>
    <t>Cutina GMS</t>
  </si>
  <si>
    <t>Glucamate DOE-120</t>
  </si>
  <si>
    <t>Metabeds microwax</t>
  </si>
  <si>
    <t>Jabón Base Opaca 80</t>
  </si>
  <si>
    <t xml:space="preserve">Microcare SB </t>
  </si>
  <si>
    <t>Microcare PEHG</t>
  </si>
  <si>
    <t>Microcare ITO (THOR)</t>
  </si>
  <si>
    <t>CARBOPOL ULTREZ 10</t>
  </si>
  <si>
    <t>CARBOPOL AQUA SF1</t>
  </si>
  <si>
    <t xml:space="preserve">Ácido cítrico </t>
  </si>
  <si>
    <t>ISP Captivates</t>
  </si>
  <si>
    <t>Salicilato de sodio</t>
  </si>
  <si>
    <t>Myritol 318</t>
  </si>
  <si>
    <t>Sal refinada yodada</t>
  </si>
  <si>
    <t>Hidróxido de sodio 50%</t>
  </si>
  <si>
    <t>Benzoato de sodio</t>
  </si>
  <si>
    <t>Vidrio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</si>
</sst>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;@"/>
    <numFmt numFmtId="165" formatCode="0.0"/>
  </numFmts>
  <fonts count="6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family val="2"/>
      <sz val="12"/>
      <name val="Arial"/>
    </font>
    <font>
      <b/>
      <family val="2"/>
      <sz val="10"/>
      <name val="Arial"/>
    </font>
    <font>
      <sz val="10"/>
      <name val="Arial"/>
    </font>
    <font>
      <b/>
      <color theme="0"/>
      <family val="2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164" fontId="4" fillId="0" borderId="13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14" fontId="1" fillId="0" borderId="13" xfId="0" applyNumberFormat="1" applyFont="1" applyBorder="1" applyAlignment="1">
      <alignment horizontal="center" vertical="center"/>
    </xf>
    <xf numFmtId="14" fontId="1" fillId="0" borderId="14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164" fontId="1" fillId="0" borderId="13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1" fillId="0" borderId="18" xfId="0" applyFont="1" applyBorder="1" applyAlignment="1">
      <alignment horizontal="left" vertical="center" wrapText="1"/>
    </xf>
    <xf numFmtId="0" fontId="1" fillId="0" borderId="13" xfId="0" applyFont="1" applyBorder="1" applyAlignment="1">
      <alignment horizontal="left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1" fillId="0" borderId="10" xfId="0" applyNumberFormat="1" applyFont="1" applyBorder="1" applyAlignment="1">
      <alignment horizontal="left" vertical="center" wrapText="1"/>
    </xf>
    <xf numFmtId="165" fontId="1" fillId="0" borderId="7" xfId="0" applyNumberFormat="1" applyFont="1" applyBorder="1" applyAlignment="1">
      <alignment horizontal="left" vertical="center" wrapText="1"/>
    </xf>
    <xf numFmtId="165" fontId="1" fillId="0" borderId="8" xfId="0" applyNumberFormat="1" applyFont="1" applyBorder="1" applyAlignment="1">
      <alignment horizontal="left" vertical="center" wrapText="1"/>
    </xf>
    <xf numFmtId="14" fontId="1" fillId="3" borderId="6" xfId="0" applyNumberFormat="1" applyFont="1" applyFill="1" applyBorder="1" applyAlignment="1">
      <alignment horizontal="left" wrapText="1"/>
    </xf>
    <xf numFmtId="14" fontId="1" fillId="3" borderId="7" xfId="0" applyNumberFormat="1" applyFont="1" applyFill="1" applyBorder="1" applyAlignment="1">
      <alignment horizontal="left" wrapText="1"/>
    </xf>
    <xf numFmtId="14" fontId="1" fillId="3" borderId="8" xfId="0" applyNumberFormat="1" applyFont="1" applyFill="1" applyBorder="1" applyAlignment="1">
      <alignment horizontal="left" wrapText="1"/>
    </xf>
    <xf numFmtId="14" fontId="3" fillId="3" borderId="6" xfId="0" applyNumberFormat="1" applyFont="1" applyFill="1" applyBorder="1" applyAlignment="1">
      <alignment horizontal="left"/>
    </xf>
    <xf numFmtId="14" fontId="3" fillId="3" borderId="7" xfId="0" applyNumberFormat="1" applyFont="1" applyFill="1" applyBorder="1" applyAlignment="1">
      <alignment horizontal="left"/>
    </xf>
    <xf numFmtId="14" fontId="3" fillId="3" borderId="8" xfId="0" applyNumberFormat="1" applyFont="1" applyFill="1" applyBorder="1" applyAlignment="1">
      <alignment horizontal="left"/>
    </xf>
    <xf numFmtId="0" fontId="3" fillId="3" borderId="20" xfId="0" applyFont="1" applyFill="1" applyBorder="1" applyAlignment="1">
      <alignment vertical="center" wrapText="1"/>
    </xf>
    <xf numFmtId="0" fontId="3" fillId="3" borderId="21" xfId="0" applyFont="1" applyFill="1" applyBorder="1" applyAlignment="1">
      <alignment vertical="center" wrapText="1"/>
    </xf>
    <xf numFmtId="0" fontId="3" fillId="3" borderId="22" xfId="0" applyFont="1" applyFill="1" applyBorder="1" applyAlignment="1">
      <alignment vertical="center" wrapText="1"/>
    </xf>
    <xf numFmtId="0" fontId="1" fillId="3" borderId="23" xfId="0" applyFont="1" applyFill="1" applyBorder="1"/>
    <xf numFmtId="0" fontId="1" fillId="3" borderId="0" xfId="0" applyFont="1" applyFill="1"/>
    <xf numFmtId="0" fontId="1" fillId="3" borderId="24" xfId="0" applyFont="1" applyFill="1" applyBorder="1"/>
    <xf numFmtId="0" fontId="1" fillId="3" borderId="25" xfId="0" applyFont="1" applyFill="1" applyBorder="1"/>
    <xf numFmtId="0" fontId="1" fillId="3" borderId="26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 wrapText="1"/>
    </xf>
    <xf numFmtId="0" fontId="1" fillId="3" borderId="25" xfId="0" applyFont="1" applyFill="1" applyBorder="1" applyAlignment="1">
      <alignment wrapText="1"/>
    </xf>
    <xf numFmtId="0" fontId="1" fillId="3" borderId="28" xfId="0" applyFont="1" applyFill="1" applyBorder="1" applyAlignment="1">
      <alignment horizontal="center" wrapText="1"/>
    </xf>
    <xf numFmtId="0" fontId="1" fillId="3" borderId="29" xfId="0" applyFont="1" applyFill="1" applyBorder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0" fontId="1" fillId="3" borderId="24" xfId="0" applyFont="1" applyFill="1" applyBorder="1" applyAlignment="1">
      <alignment horizontal="center" wrapText="1"/>
    </xf>
    <xf numFmtId="0" fontId="1" fillId="3" borderId="25" xfId="0" applyFont="1" applyFill="1" applyBorder="1" applyAlignment="1">
      <alignment horizontal="center" wrapText="1"/>
    </xf>
    <xf numFmtId="0" fontId="1" fillId="3" borderId="26" xfId="0" applyFont="1" applyFill="1" applyBorder="1"/>
    <xf numFmtId="0" fontId="1" fillId="3" borderId="27" xfId="0" applyFont="1" applyFill="1" applyBorder="1"/>
    <xf numFmtId="0" fontId="1" fillId="3" borderId="30" xfId="0" applyFont="1" applyFill="1" applyBorder="1"/>
    <xf numFmtId="0" fontId="1" fillId="0" borderId="0" xfId="0" applyFont="1" applyAlignment="1">
      <alignment horizontal="left"/>
    </xf>
    <xf numFmtId="0" fontId="3" fillId="4" borderId="13" xfId="0" applyFont="1" applyFill="1" applyBorder="1"/>
    <xf numFmtId="0" fontId="1" fillId="0" borderId="13" xfId="0" applyFont="1" applyBorder="1"/>
    <xf numFmtId="0" fontId="4" fillId="0" borderId="13" xfId="0" applyFont="1" applyBorder="1"/>
    <xf numFmtId="0" fontId="5" fillId="4" borderId="0" xfId="0" applyFont="1" applyFill="1" applyAlignment="1">
      <alignment horizontal="center"/>
    </xf>
    <xf numFmtId="3" fontId="4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447675</xdr:colOff>
      <xdr:row>0</xdr:row>
      <xdr:rowOff>123825</xdr:rowOff>
    </xdr:from>
    <xdr:to>
      <xdr:col>0</xdr:col>
      <xdr:colOff>1190625</xdr:colOff>
      <xdr:row>0</xdr:row>
      <xdr:rowOff>704850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oneCellAnchor editAs="oneCell">
    <xdr:from>
      <xdr:col>6</xdr:col>
      <xdr:colOff>0</xdr:colOff>
      <xdr:row>5</xdr:row>
      <xdr:rowOff>0</xdr:rowOff>
    </xdr:from>
    <xdr:ext cx="952500" cy="2857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6</xdr:row>
      <xdr:rowOff>0</xdr:rowOff>
    </xdr:from>
    <xdr:ext cx="952500" cy="28575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7</xdr:row>
      <xdr:rowOff>0</xdr:rowOff>
    </xdr:from>
    <xdr:ext cx="952500" cy="28575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8</xdr:row>
      <xdr:rowOff>0</xdr:rowOff>
    </xdr:from>
    <xdr:ext cx="952500" cy="28575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9</xdr:row>
      <xdr:rowOff>0</xdr:rowOff>
    </xdr:from>
    <xdr:ext cx="952500" cy="285750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10</xdr:row>
      <xdr:rowOff>0</xdr:rowOff>
    </xdr:from>
    <xdr:ext cx="952500" cy="285750"/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11</xdr:row>
      <xdr:rowOff>0</xdr:rowOff>
    </xdr:from>
    <xdr:ext cx="952500" cy="285750"/>
    <xdr:pic>
      <xdr:nvPicPr>
        <xdr:cNvPr id="8" name="Picture 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12</xdr:row>
      <xdr:rowOff>0</xdr:rowOff>
    </xdr:from>
    <xdr:ext cx="952500" cy="285750"/>
    <xdr:pic>
      <xdr:nvPicPr>
        <xdr:cNvPr id="9" name="Picture 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13</xdr:row>
      <xdr:rowOff>0</xdr:rowOff>
    </xdr:from>
    <xdr:ext cx="952500" cy="285750"/>
    <xdr:pic>
      <xdr:nvPicPr>
        <xdr:cNvPr id="10" name="Picture 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14</xdr:row>
      <xdr:rowOff>0</xdr:rowOff>
    </xdr:from>
    <xdr:ext cx="952500" cy="285750"/>
    <xdr:pic>
      <xdr:nvPicPr>
        <xdr:cNvPr id="11" name="Picture 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15</xdr:row>
      <xdr:rowOff>0</xdr:rowOff>
    </xdr:from>
    <xdr:ext cx="952500" cy="285750"/>
    <xdr:pic>
      <xdr:nvPicPr>
        <xdr:cNvPr id="12" name="Picture 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16</xdr:row>
      <xdr:rowOff>0</xdr:rowOff>
    </xdr:from>
    <xdr:ext cx="952500" cy="285750"/>
    <xdr:pic>
      <xdr:nvPicPr>
        <xdr:cNvPr id="13" name="Picture 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17</xdr:row>
      <xdr:rowOff>0</xdr:rowOff>
    </xdr:from>
    <xdr:ext cx="952500" cy="285750"/>
    <xdr:pic>
      <xdr:nvPicPr>
        <xdr:cNvPr id="14" name="Picture 1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18</xdr:row>
      <xdr:rowOff>0</xdr:rowOff>
    </xdr:from>
    <xdr:ext cx="952500" cy="285750"/>
    <xdr:pic>
      <xdr:nvPicPr>
        <xdr:cNvPr id="15" name="Picture 1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19</xdr:row>
      <xdr:rowOff>0</xdr:rowOff>
    </xdr:from>
    <xdr:ext cx="952500" cy="285750"/>
    <xdr:pic>
      <xdr:nvPicPr>
        <xdr:cNvPr id="16" name="Picture 1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20</xdr:row>
      <xdr:rowOff>0</xdr:rowOff>
    </xdr:from>
    <xdr:ext cx="952500" cy="285750"/>
    <xdr:pic>
      <xdr:nvPicPr>
        <xdr:cNvPr id="17" name="Picture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21</xdr:row>
      <xdr:rowOff>0</xdr:rowOff>
    </xdr:from>
    <xdr:ext cx="952500" cy="285750"/>
    <xdr:pic>
      <xdr:nvPicPr>
        <xdr:cNvPr id="18" name="Picture 1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0</xdr:colOff>
      <xdr:row>22</xdr:row>
      <xdr:rowOff>0</xdr:rowOff>
    </xdr:from>
    <xdr:ext cx="952500" cy="285750"/>
    <xdr:pic>
      <xdr:nvPicPr>
        <xdr:cNvPr id="19" name="Picture 1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0</xdr:colOff>
      <xdr:row>27</xdr:row>
      <xdr:rowOff>0</xdr:rowOff>
    </xdr:from>
    <xdr:ext cx="1143000" cy="476250"/>
    <xdr:pic>
      <xdr:nvPicPr>
        <xdr:cNvPr id="20" name="Picture 2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0</xdr:row>
      <xdr:rowOff>0</xdr:rowOff>
    </xdr:from>
    <xdr:ext cx="1190625" cy="704850"/>
    <xdr:pic>
      <xdr:nvPicPr>
        <xdr:cNvPr id="21" name="Picture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a4" displayName="Tabla4" ref="A2:C39" totalsRowShown="1" headerRowCount="0">
  <autoFilter>
    <filterColumn colId="0" hiddenButton="1"/>
    <filterColumn colId="1" hiddenButton="1"/>
    <filterColumn colId="2" hiddenButton="1"/>
  </autoFilter>
  <tableColumns count="3">
    <tableColumn id="1" name="Columna1"/>
    <tableColumn id="2" name="Columna2"/>
    <tableColumn id="3" name="Columna3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6"/>
  <sheetViews>
    <sheetView workbookViewId="0" zoomScale="82" zoomScaleNormal="82">
      <selection activeCell="E61" sqref="E61"/>
    </sheetView>
  </sheetViews>
  <sheetFormatPr defaultRowHeight="12.75" outlineLevelRow="0" outlineLevelCol="0" x14ac:dyDescent="0.2" defaultColWidth="11.42578125" customHeight="1"/>
  <cols>
    <col min="1" max="1" width="17.85546875" style="1" customWidth="1"/>
    <col min="2" max="2" width="47.85546875" style="1" customWidth="1"/>
    <col min="3" max="3" width="16.42578125" style="1" customWidth="1"/>
    <col min="4" max="4" width="11.85546875" style="1" customWidth="1"/>
    <col min="5" max="5" width="22.42578125" style="1" customWidth="1"/>
    <col min="6" max="6" width="16.5703125" style="1" customWidth="1"/>
    <col min="7" max="7" width="20.42578125" style="1" customWidth="1"/>
    <col min="8" max="8" width="38.42578125" style="1" customWidth="1"/>
    <col min="9" max="9" width="2.140625" style="1" customWidth="1"/>
    <col min="10" max="10" width="11.42578125" style="1" customWidth="1"/>
    <col min="11" max="26" width="8.28515625" style="1" customWidth="1"/>
    <col min="27" max="42" width="16.140625" style="1" customWidth="1"/>
    <col min="43" max="16384" width="11.42578125" style="1" customWidth="1"/>
  </cols>
  <sheetData>
    <row r="1" ht="55.5" customHeight="1" spans="1:9" x14ac:dyDescent="0.25">
      <c r="A1" s="2"/>
      <c r="B1" s="3" t="s">
        <v>0</v>
      </c>
      <c r="C1" s="3"/>
      <c r="D1" s="3"/>
      <c r="E1" s="3"/>
      <c r="F1" s="3"/>
      <c r="G1" s="4"/>
      <c r="H1" s="5" t="s">
        <v>1</v>
      </c>
      <c r="I1" s="6"/>
    </row>
    <row r="2" ht="30" customHeight="1" spans="1:9" x14ac:dyDescent="0.25">
      <c r="A2" s="7" t="s">
        <v>2</v>
      </c>
      <c r="B2" s="8"/>
      <c r="C2" s="8"/>
      <c r="D2" s="8"/>
      <c r="E2" s="8"/>
      <c r="F2" s="8"/>
      <c r="G2" s="8"/>
      <c r="H2" s="8"/>
      <c r="I2" s="9"/>
    </row>
    <row r="3" ht="24" customHeight="1" spans="1:9" x14ac:dyDescent="0.25">
      <c r="A3" s="10" t="s">
        <v>3</v>
      </c>
      <c r="B3" s="11"/>
      <c r="C3" s="12" t="s">
        <v>4</v>
      </c>
      <c r="D3" s="11"/>
      <c r="E3" s="13" t="s">
        <v>5</v>
      </c>
      <c r="F3" s="14"/>
      <c r="G3" s="15" t="s">
        <v>6</v>
      </c>
      <c r="H3" s="15"/>
      <c r="I3" s="16"/>
    </row>
    <row r="4" ht="27.75" customHeight="1" spans="1:9" x14ac:dyDescent="0.25">
      <c r="A4" s="17" t="s">
        <v>7</v>
      </c>
      <c r="B4" s="18"/>
      <c r="C4" s="19" t="s">
        <v>8</v>
      </c>
      <c r="D4" s="20"/>
      <c r="E4" s="21" t="s">
        <v>9</v>
      </c>
      <c r="F4" s="21"/>
      <c r="G4" s="22" t="s">
        <v>10</v>
      </c>
      <c r="H4" s="22"/>
      <c r="I4" s="23"/>
    </row>
    <row r="5" ht="39" customHeight="1" spans="1:9" x14ac:dyDescent="0.25">
      <c r="A5" s="24" t="s">
        <v>11</v>
      </c>
      <c r="B5" s="25"/>
      <c r="C5" s="26" t="s">
        <v>12</v>
      </c>
      <c r="D5" s="26" t="s">
        <v>13</v>
      </c>
      <c r="E5" s="26" t="s">
        <v>14</v>
      </c>
      <c r="F5" s="26" t="s">
        <v>15</v>
      </c>
      <c r="G5" s="26" t="s">
        <v>16</v>
      </c>
      <c r="H5" s="27" t="s">
        <v>17</v>
      </c>
      <c r="I5" s="28"/>
    </row>
    <row r="6" ht="27.75" customHeight="1" spans="1:9" x14ac:dyDescent="0.25">
      <c r="A6" s="29" t="s">
        <v>18</v>
      </c>
      <c r="B6" s="30"/>
      <c r="C6" s="31">
        <v>46007.75</v>
      </c>
      <c r="D6" s="32">
        <v>8</v>
      </c>
      <c r="E6" s="21" t="s">
        <v>19</v>
      </c>
      <c r="F6" s="33" t="s">
        <v>20</v>
      </c>
      <c r="G6" s="33"/>
      <c r="H6" s="21" t="s">
        <v>21</v>
      </c>
      <c r="I6" s="34"/>
    </row>
    <row r="7" ht="131.25" customHeight="1" spans="1:9" x14ac:dyDescent="0.25">
      <c r="A7" s="35" t="s">
        <v>22</v>
      </c>
      <c r="B7" s="36"/>
      <c r="C7" s="31">
        <v>46007.75</v>
      </c>
      <c r="D7" s="32">
        <v>2</v>
      </c>
      <c r="E7" s="21" t="s">
        <v>23</v>
      </c>
      <c r="F7" s="33" t="s">
        <v>20</v>
      </c>
      <c r="G7" s="33"/>
      <c r="H7" s="21" t="s">
        <v>21</v>
      </c>
      <c r="I7" s="34"/>
    </row>
    <row r="8" ht="36" customHeight="1" spans="1:9" x14ac:dyDescent="0.25">
      <c r="A8" s="37" t="s">
        <v>24</v>
      </c>
      <c r="B8" s="38"/>
      <c r="C8" s="31">
        <v>46007.75</v>
      </c>
      <c r="D8" s="33">
        <v>1</v>
      </c>
      <c r="E8" s="39" t="s">
        <v>25</v>
      </c>
      <c r="F8" s="32" t="s">
        <v>20</v>
      </c>
      <c r="G8" s="32"/>
      <c r="H8" s="21" t="s">
        <v>21</v>
      </c>
      <c r="I8" s="34"/>
    </row>
    <row r="9" ht="36" customHeight="1" spans="1:9" x14ac:dyDescent="0.25">
      <c r="A9" s="37" t="s">
        <v>26</v>
      </c>
      <c r="B9" s="38"/>
      <c r="C9" s="31">
        <v>46000.75</v>
      </c>
      <c r="D9" s="33">
        <v>1</v>
      </c>
      <c r="E9" s="39" t="s">
        <v>25</v>
      </c>
      <c r="F9" s="33" t="s">
        <v>27</v>
      </c>
      <c r="G9" s="32"/>
      <c r="H9" s="21" t="s">
        <v>21</v>
      </c>
      <c r="I9" s="34"/>
    </row>
    <row r="10" ht="36" customHeight="1" spans="1:9" x14ac:dyDescent="0.25">
      <c r="A10" s="37" t="s">
        <v>28</v>
      </c>
      <c r="B10" s="38"/>
      <c r="C10" s="31">
        <v>46000.75</v>
      </c>
      <c r="D10" s="33">
        <v>1</v>
      </c>
      <c r="E10" s="39" t="s">
        <v>29</v>
      </c>
      <c r="F10" s="32" t="s">
        <v>30</v>
      </c>
      <c r="G10" s="32"/>
      <c r="H10" s="21" t="s">
        <v>21</v>
      </c>
      <c r="I10" s="34"/>
    </row>
    <row r="11" ht="36" customHeight="1" spans="1:9" x14ac:dyDescent="0.25">
      <c r="A11" s="35" t="s">
        <v>31</v>
      </c>
      <c r="B11" s="36"/>
      <c r="C11" s="31">
        <v>46007.75</v>
      </c>
      <c r="D11" s="33">
        <v>1</v>
      </c>
      <c r="E11" s="39" t="s">
        <v>25</v>
      </c>
      <c r="F11" s="32" t="s">
        <v>27</v>
      </c>
      <c r="G11" s="32"/>
      <c r="H11" s="21" t="s">
        <v>21</v>
      </c>
      <c r="I11" s="34"/>
    </row>
    <row r="12" ht="61.5" customHeight="1" spans="1:9" x14ac:dyDescent="0.25">
      <c r="A12" s="37" t="s">
        <v>32</v>
      </c>
      <c r="B12" s="38"/>
      <c r="C12" s="31">
        <v>46001.75</v>
      </c>
      <c r="D12" s="32">
        <v>2</v>
      </c>
      <c r="E12" s="21" t="s">
        <v>23</v>
      </c>
      <c r="F12" s="33" t="s">
        <v>20</v>
      </c>
      <c r="G12" s="33"/>
      <c r="H12" s="21" t="s">
        <v>21</v>
      </c>
      <c r="I12" s="34"/>
    </row>
    <row r="13" ht="48.75" customHeight="1" spans="1:9" x14ac:dyDescent="0.25">
      <c r="A13" s="35" t="s">
        <v>33</v>
      </c>
      <c r="B13" s="36"/>
      <c r="C13" s="31">
        <v>46007.75</v>
      </c>
      <c r="D13" s="32">
        <v>1</v>
      </c>
      <c r="E13" s="21" t="s">
        <v>23</v>
      </c>
      <c r="F13" s="33" t="s">
        <v>34</v>
      </c>
      <c r="G13" s="40"/>
      <c r="H13" s="21" t="s">
        <v>21</v>
      </c>
      <c r="I13" s="34"/>
    </row>
    <row r="14" ht="48.75" customHeight="1" spans="1:9" x14ac:dyDescent="0.25">
      <c r="A14" s="35" t="s">
        <v>35</v>
      </c>
      <c r="B14" s="36"/>
      <c r="C14" s="31">
        <v>46000.75</v>
      </c>
      <c r="D14" s="32">
        <v>1</v>
      </c>
      <c r="E14" s="21" t="s">
        <v>29</v>
      </c>
      <c r="F14" s="33" t="s">
        <v>36</v>
      </c>
      <c r="G14" s="40"/>
      <c r="H14" s="21" t="s">
        <v>21</v>
      </c>
      <c r="I14" s="34"/>
    </row>
    <row r="15" ht="34.5" customHeight="1" spans="1:9" x14ac:dyDescent="0.25">
      <c r="A15" s="35" t="s">
        <v>37</v>
      </c>
      <c r="B15" s="36"/>
      <c r="C15" s="31">
        <v>46007.75</v>
      </c>
      <c r="D15" s="32">
        <v>2</v>
      </c>
      <c r="E15" s="21" t="s">
        <v>29</v>
      </c>
      <c r="F15" s="33" t="s">
        <v>20</v>
      </c>
      <c r="G15" s="40"/>
      <c r="H15" s="21" t="s">
        <v>21</v>
      </c>
      <c r="I15" s="34"/>
    </row>
    <row r="16" ht="34.5" customHeight="1" spans="1:9" x14ac:dyDescent="0.25">
      <c r="A16" s="35" t="s">
        <v>38</v>
      </c>
      <c r="B16" s="36"/>
      <c r="C16" s="31">
        <v>46001.75</v>
      </c>
      <c r="D16" s="41">
        <v>1</v>
      </c>
      <c r="E16" s="21" t="s">
        <v>23</v>
      </c>
      <c r="F16" s="33" t="s">
        <v>27</v>
      </c>
      <c r="G16" s="40"/>
      <c r="H16" s="21" t="s">
        <v>21</v>
      </c>
      <c r="I16" s="34"/>
    </row>
    <row r="17" ht="61.5" customHeight="1" spans="1:9" x14ac:dyDescent="0.25">
      <c r="A17" s="35" t="s">
        <v>39</v>
      </c>
      <c r="B17" s="36"/>
      <c r="C17" s="31">
        <v>46001.75</v>
      </c>
      <c r="D17" s="41">
        <v>1</v>
      </c>
      <c r="E17" s="21" t="s">
        <v>40</v>
      </c>
      <c r="F17" s="33" t="s">
        <v>20</v>
      </c>
      <c r="G17" s="40"/>
      <c r="H17" s="21" t="s">
        <v>21</v>
      </c>
      <c r="I17" s="34"/>
    </row>
    <row r="18" ht="61.5" customHeight="1" spans="1:9" x14ac:dyDescent="0.25">
      <c r="A18" s="35" t="s">
        <v>41</v>
      </c>
      <c r="B18" s="36"/>
      <c r="C18" s="31">
        <v>46007.75</v>
      </c>
      <c r="D18" s="41">
        <v>1</v>
      </c>
      <c r="E18" s="21" t="s">
        <v>29</v>
      </c>
      <c r="F18" s="42" t="s">
        <v>30</v>
      </c>
      <c r="G18" s="40"/>
      <c r="H18" s="21" t="s">
        <v>21</v>
      </c>
      <c r="I18" s="34"/>
    </row>
    <row r="19" ht="34.5" customHeight="1" spans="1:9" x14ac:dyDescent="0.25">
      <c r="A19" s="35" t="s">
        <v>42</v>
      </c>
      <c r="B19" s="36"/>
      <c r="C19" s="31">
        <v>46007.75</v>
      </c>
      <c r="D19" s="32">
        <v>1</v>
      </c>
      <c r="E19" s="21" t="s">
        <v>43</v>
      </c>
      <c r="F19" s="33" t="s">
        <v>34</v>
      </c>
      <c r="G19" s="43"/>
      <c r="H19" s="21" t="s">
        <v>21</v>
      </c>
      <c r="I19" s="34"/>
    </row>
    <row r="20" ht="25.5" customHeight="1" spans="1:9" x14ac:dyDescent="0.25">
      <c r="A20" s="35" t="s">
        <v>44</v>
      </c>
      <c r="B20" s="36"/>
      <c r="C20" s="31">
        <v>46007.75</v>
      </c>
      <c r="D20" s="32">
        <v>2</v>
      </c>
      <c r="E20" s="21" t="s">
        <v>45</v>
      </c>
      <c r="F20" s="33" t="s">
        <v>46</v>
      </c>
      <c r="G20" s="43"/>
      <c r="H20" s="21" t="s">
        <v>47</v>
      </c>
      <c r="I20" s="34"/>
    </row>
    <row r="21" ht="134.25" customHeight="1" spans="1:9" x14ac:dyDescent="0.25">
      <c r="A21" s="35" t="s">
        <v>48</v>
      </c>
      <c r="B21" s="36"/>
      <c r="C21" s="31">
        <v>46007.75</v>
      </c>
      <c r="D21" s="32">
        <v>2</v>
      </c>
      <c r="E21" s="21" t="s">
        <v>45</v>
      </c>
      <c r="F21" s="33" t="s">
        <v>34</v>
      </c>
      <c r="G21" s="43"/>
      <c r="H21" s="21" t="s">
        <v>21</v>
      </c>
      <c r="I21" s="34"/>
    </row>
    <row r="22" ht="35.25" customHeight="1" spans="1:9" x14ac:dyDescent="0.25">
      <c r="A22" s="35" t="s">
        <v>49</v>
      </c>
      <c r="B22" s="36"/>
      <c r="C22" s="31">
        <v>46007.75</v>
      </c>
      <c r="D22" s="32">
        <v>1</v>
      </c>
      <c r="E22" s="21" t="s">
        <v>45</v>
      </c>
      <c r="F22" s="33" t="s">
        <v>34</v>
      </c>
      <c r="G22" s="43"/>
      <c r="H22" s="21" t="s">
        <v>21</v>
      </c>
      <c r="I22" s="34"/>
    </row>
    <row r="23" ht="30.75" customHeight="1" spans="1:9" x14ac:dyDescent="0.25">
      <c r="A23" s="35" t="s">
        <v>50</v>
      </c>
      <c r="B23" s="36"/>
      <c r="C23" s="31">
        <v>46007.75</v>
      </c>
      <c r="D23" s="32">
        <v>1</v>
      </c>
      <c r="E23" s="21" t="s">
        <v>45</v>
      </c>
      <c r="F23" s="33" t="s">
        <v>34</v>
      </c>
      <c r="G23" s="43"/>
      <c r="H23" s="21" t="s">
        <v>21</v>
      </c>
      <c r="I23" s="34"/>
    </row>
    <row r="24" spans="1:9" x14ac:dyDescent="0.25">
      <c r="A24" s="17" t="s">
        <v>51</v>
      </c>
      <c r="B24" s="44"/>
      <c r="C24" s="44"/>
      <c r="D24" s="44"/>
      <c r="E24" s="44"/>
      <c r="F24" s="44"/>
      <c r="G24" s="44"/>
      <c r="H24" s="44"/>
      <c r="I24" s="45"/>
    </row>
    <row r="25" spans="1:9" x14ac:dyDescent="0.25">
      <c r="A25" s="10" t="s">
        <v>52</v>
      </c>
      <c r="B25" s="46"/>
      <c r="C25" s="46"/>
      <c r="D25" s="46"/>
      <c r="E25" s="11"/>
      <c r="F25" s="47">
        <f>+AVERAGE(F6:F24)</f>
      </c>
      <c r="G25" s="48"/>
      <c r="H25" s="48"/>
      <c r="I25" s="49"/>
    </row>
    <row r="26" spans="1:9" x14ac:dyDescent="0.25">
      <c r="A26" s="50" t="s">
        <v>53</v>
      </c>
      <c r="B26" s="51"/>
      <c r="C26" s="51"/>
      <c r="D26" s="51"/>
      <c r="E26" s="51"/>
      <c r="F26" s="51"/>
      <c r="G26" s="51"/>
      <c r="H26" s="51"/>
      <c r="I26" s="52"/>
    </row>
    <row r="27" ht="24.75" customHeight="1" spans="1:9" x14ac:dyDescent="0.25">
      <c r="A27" s="53" t="s">
        <v>54</v>
      </c>
      <c r="B27" s="54"/>
      <c r="C27" s="54"/>
      <c r="D27" s="54"/>
      <c r="E27" s="54"/>
      <c r="F27" s="54"/>
      <c r="G27" s="54"/>
      <c r="H27" s="54"/>
      <c r="I27" s="55"/>
    </row>
    <row r="28" spans="1:9" x14ac:dyDescent="0.25">
      <c r="A28" s="56"/>
      <c r="B28" s="57"/>
      <c r="C28" s="57"/>
      <c r="D28" s="57"/>
      <c r="E28" s="57"/>
      <c r="F28" s="57"/>
      <c r="G28" s="57"/>
      <c r="H28" s="57"/>
      <c r="I28" s="58"/>
    </row>
    <row r="29" spans="1:9" x14ac:dyDescent="0.25">
      <c r="A29" s="59"/>
      <c r="B29" s="60"/>
      <c r="C29" s="60"/>
      <c r="D29" s="60"/>
      <c r="E29" s="60"/>
      <c r="F29" s="60"/>
      <c r="G29" s="60"/>
      <c r="H29" s="61"/>
      <c r="I29" s="62"/>
    </row>
    <row r="30" ht="13.5" customHeight="1" spans="1:9" x14ac:dyDescent="0.25">
      <c r="A30" s="63"/>
      <c r="B30" s="64"/>
      <c r="C30" s="60"/>
      <c r="D30" s="64"/>
      <c r="E30" s="64"/>
      <c r="F30" s="64"/>
      <c r="G30" s="60"/>
      <c r="H30" s="65"/>
      <c r="I30" s="66"/>
    </row>
    <row r="31" ht="25.5" customHeight="1" spans="1:9" x14ac:dyDescent="0.25">
      <c r="A31" s="67" t="s">
        <v>16</v>
      </c>
      <c r="B31" s="68"/>
      <c r="C31" s="69"/>
      <c r="D31" s="68" t="s">
        <v>55</v>
      </c>
      <c r="E31" s="68"/>
      <c r="F31" s="68"/>
      <c r="G31" s="69"/>
      <c r="H31" s="70" t="s">
        <v>56</v>
      </c>
      <c r="I31" s="71"/>
    </row>
    <row r="32" ht="13.5" customHeight="1" spans="1:9" x14ac:dyDescent="0.25">
      <c r="A32" s="72"/>
      <c r="B32" s="73"/>
      <c r="C32" s="73"/>
      <c r="D32" s="73"/>
      <c r="E32" s="64" t="s">
        <v>57</v>
      </c>
      <c r="F32" s="73"/>
      <c r="G32" s="73"/>
      <c r="H32" s="73"/>
      <c r="I32" s="74"/>
    </row>
    <row r="36" spans="1:1" x14ac:dyDescent="0.25">
      <c r="A36" s="75"/>
    </row>
  </sheetData>
  <mergeCells count="61">
    <mergeCell ref="B1:G1"/>
    <mergeCell ref="H1:I1"/>
    <mergeCell ref="A2:I2"/>
    <mergeCell ref="A3:B3"/>
    <mergeCell ref="C3:D3"/>
    <mergeCell ref="E3:F3"/>
    <mergeCell ref="G3:I3"/>
    <mergeCell ref="A4:B4"/>
    <mergeCell ref="C4:D4"/>
    <mergeCell ref="E4:F4"/>
    <mergeCell ref="G4:I4"/>
    <mergeCell ref="A5:B5"/>
    <mergeCell ref="H5:I5"/>
    <mergeCell ref="A6:B6"/>
    <mergeCell ref="H6:I6"/>
    <mergeCell ref="A7:B7"/>
    <mergeCell ref="H7:I7"/>
    <mergeCell ref="A8:B8"/>
    <mergeCell ref="H8:I8"/>
    <mergeCell ref="A9:B9"/>
    <mergeCell ref="H9:I9"/>
    <mergeCell ref="A10:B10"/>
    <mergeCell ref="H10:I10"/>
    <mergeCell ref="A11:B11"/>
    <mergeCell ref="H11:I11"/>
    <mergeCell ref="A12:B12"/>
    <mergeCell ref="H12:I12"/>
    <mergeCell ref="A13:B13"/>
    <mergeCell ref="H13:I13"/>
    <mergeCell ref="A14:B14"/>
    <mergeCell ref="H14:I14"/>
    <mergeCell ref="A15:B15"/>
    <mergeCell ref="H15:I15"/>
    <mergeCell ref="A16:B16"/>
    <mergeCell ref="H16:I16"/>
    <mergeCell ref="A17:B17"/>
    <mergeCell ref="H17:I17"/>
    <mergeCell ref="A18:B18"/>
    <mergeCell ref="H18:I18"/>
    <mergeCell ref="A19:B19"/>
    <mergeCell ref="H19:I19"/>
    <mergeCell ref="A20:B20"/>
    <mergeCell ref="H20:I20"/>
    <mergeCell ref="A21:B21"/>
    <mergeCell ref="H21:I21"/>
    <mergeCell ref="A22:B22"/>
    <mergeCell ref="H22:I22"/>
    <mergeCell ref="A23:B23"/>
    <mergeCell ref="H23:I23"/>
    <mergeCell ref="A24:I24"/>
    <mergeCell ref="A25:E25"/>
    <mergeCell ref="F25:I25"/>
    <mergeCell ref="A26:I26"/>
    <mergeCell ref="A27:I27"/>
    <mergeCell ref="A28:I28"/>
    <mergeCell ref="H29:I29"/>
    <mergeCell ref="A30:B30"/>
    <mergeCell ref="D30:F30"/>
    <mergeCell ref="D31:F31"/>
    <mergeCell ref="H31:I31"/>
    <mergeCell ref="H32:I32"/>
  </mergeCells>
  <printOptions horizontalCentered="1"/>
  <pageMargins left="0" right="0" top="0.3937007874015748" bottom="0" header="0" footer="0"/>
  <pageSetup orientation="landscape" horizontalDpi="300" verticalDpi="300" scale="77" fitToWidth="1" fitToHeight="1" firstPageNumber="1" useFirstPageNumber="1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 zoomScale="100" zoomScaleNormal="100">
      <selection activeCell="D1" sqref="D1"/>
    </sheetView>
  </sheetViews>
  <sheetFormatPr defaultRowHeight="12.75" outlineLevelRow="0" outlineLevelCol="0" x14ac:dyDescent="0.2" defaultColWidth="11.42578125" customHeight="1"/>
  <cols>
    <col min="1" max="1" width="26.7109375" customWidth="1"/>
    <col min="4" max="4" width="18.42578125" customWidth="1"/>
  </cols>
  <sheetData>
    <row r="1" spans="1:4" x14ac:dyDescent="0.25">
      <c r="A1" s="76" t="s">
        <v>61</v>
      </c>
      <c r="B1" s="76" t="s">
        <v>62</v>
      </c>
      <c r="C1" s="76" t="s">
        <v>63</v>
      </c>
      <c r="D1" s="76" t="s">
        <v>64</v>
      </c>
    </row>
    <row r="2" spans="1:4" x14ac:dyDescent="0.25">
      <c r="A2" s="77" t="s">
        <v>65</v>
      </c>
      <c r="B2" s="77" t="s">
        <v>66</v>
      </c>
      <c r="C2" s="78">
        <v>0</v>
      </c>
      <c r="D2" s="77" t="s">
        <v>67</v>
      </c>
    </row>
    <row r="3" spans="1:4" x14ac:dyDescent="0.25">
      <c r="A3" s="77" t="s">
        <v>68</v>
      </c>
      <c r="B3" s="77" t="s">
        <v>69</v>
      </c>
      <c r="C3" s="78">
        <v>4</v>
      </c>
      <c r="D3" s="78"/>
    </row>
    <row r="4" spans="1:4" x14ac:dyDescent="0.25">
      <c r="A4" s="77" t="s">
        <v>10</v>
      </c>
      <c r="B4" s="77" t="s">
        <v>69</v>
      </c>
      <c r="C4" s="78">
        <v>4</v>
      </c>
      <c r="D4" s="78"/>
    </row>
    <row r="5" spans="1:4" x14ac:dyDescent="0.25">
      <c r="A5" s="77" t="s">
        <v>70</v>
      </c>
      <c r="B5" s="77" t="s">
        <v>69</v>
      </c>
      <c r="C5" s="78">
        <v>5</v>
      </c>
      <c r="D5" s="78"/>
    </row>
    <row r="6" spans="1:4" x14ac:dyDescent="0.25">
      <c r="A6" s="77" t="s">
        <v>71</v>
      </c>
      <c r="B6" s="77" t="s">
        <v>69</v>
      </c>
      <c r="C6" s="78">
        <v>5</v>
      </c>
      <c r="D6" s="78"/>
    </row>
    <row r="7" spans="1:4" x14ac:dyDescent="0.25">
      <c r="A7" s="77" t="s">
        <v>72</v>
      </c>
      <c r="B7" s="77" t="s">
        <v>69</v>
      </c>
      <c r="C7" s="78">
        <v>6</v>
      </c>
      <c r="D7" s="78"/>
    </row>
    <row r="8" spans="1:4" x14ac:dyDescent="0.25">
      <c r="A8" s="77" t="s">
        <v>73</v>
      </c>
      <c r="B8" s="77" t="s">
        <v>69</v>
      </c>
      <c r="C8" s="78">
        <v>3</v>
      </c>
      <c r="D8" s="78"/>
    </row>
    <row r="9" spans="1:4" x14ac:dyDescent="0.25">
      <c r="A9" s="77" t="s">
        <v>74</v>
      </c>
      <c r="B9" s="77" t="s">
        <v>69</v>
      </c>
      <c r="C9" s="78">
        <v>2</v>
      </c>
      <c r="D9" s="78"/>
    </row>
    <row r="10" spans="1:4" x14ac:dyDescent="0.25">
      <c r="A10" s="77" t="s">
        <v>75</v>
      </c>
      <c r="B10" s="77" t="s">
        <v>69</v>
      </c>
      <c r="C10" s="78">
        <v>3</v>
      </c>
      <c r="D10" s="78"/>
    </row>
    <row r="11" spans="1:4" x14ac:dyDescent="0.25">
      <c r="A11" s="77" t="s">
        <v>76</v>
      </c>
      <c r="B11" s="77" t="s">
        <v>69</v>
      </c>
      <c r="C11" s="78">
        <v>5</v>
      </c>
      <c r="D11" s="78"/>
    </row>
    <row r="12" spans="1:4" x14ac:dyDescent="0.25">
      <c r="A12" s="77" t="s">
        <v>77</v>
      </c>
      <c r="B12" s="77" t="s">
        <v>69</v>
      </c>
      <c r="C12" s="78">
        <v>8</v>
      </c>
      <c r="D12" s="78"/>
    </row>
    <row r="13" spans="1:4" x14ac:dyDescent="0.25">
      <c r="A13" s="77" t="s">
        <v>78</v>
      </c>
      <c r="B13" s="77" t="s">
        <v>69</v>
      </c>
      <c r="C13" s="78">
        <v>2</v>
      </c>
      <c r="D13" s="77" t="s">
        <v>79</v>
      </c>
    </row>
    <row r="14" spans="1:4" x14ac:dyDescent="0.25">
      <c r="A14" s="77" t="s">
        <v>80</v>
      </c>
      <c r="B14" s="77" t="s">
        <v>69</v>
      </c>
      <c r="C14" s="78">
        <v>3</v>
      </c>
      <c r="D14" s="78"/>
    </row>
  </sheetData>
  <pageMargins left="0.7" right="0.7" top="0.75" bottom="0.75" header="0.3" footer="0.3"/>
  <pageSetup orientation="portrait" horizontalDpi="4294967295" verticalDpi="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 zoomScale="100" zoomScaleNormal="100">
      <selection activeCell="E17" sqref="E17"/>
    </sheetView>
  </sheetViews>
  <sheetFormatPr defaultRowHeight="12.75" outlineLevelRow="0" outlineLevelCol="0" x14ac:dyDescent="0.2" defaultColWidth="11.42578125" customHeight="1"/>
  <cols>
    <col min="1" max="1" width="24.140625" customWidth="1"/>
  </cols>
  <sheetData>
    <row r="1" spans="1:3" x14ac:dyDescent="0.25">
      <c r="A1" s="79" t="s">
        <v>81</v>
      </c>
      <c r="B1" s="79" t="s">
        <v>82</v>
      </c>
      <c r="C1" s="79"/>
    </row>
    <row r="2" hidden="1" spans="1:3" x14ac:dyDescent="0.25">
      <c r="A2" s="75" t="s">
        <v>83</v>
      </c>
      <c r="B2" s="80" t="s">
        <v>84</v>
      </c>
      <c r="C2" s="81" t="s">
        <v>85</v>
      </c>
    </row>
    <row r="3" spans="1:3" x14ac:dyDescent="0.25">
      <c r="A3" s="75" t="s">
        <v>86</v>
      </c>
      <c r="B3" s="80">
        <v>1200</v>
      </c>
      <c r="C3" s="81" t="s">
        <v>87</v>
      </c>
    </row>
    <row r="4" spans="1:3" x14ac:dyDescent="0.25">
      <c r="A4" s="75" t="s">
        <v>88</v>
      </c>
      <c r="B4" s="80">
        <v>6500</v>
      </c>
      <c r="C4" s="81" t="s">
        <v>87</v>
      </c>
    </row>
    <row r="5" spans="1:3" x14ac:dyDescent="0.25">
      <c r="A5" s="75" t="s">
        <v>89</v>
      </c>
      <c r="B5" s="80">
        <v>3000</v>
      </c>
      <c r="C5" s="81" t="s">
        <v>87</v>
      </c>
    </row>
    <row r="6" spans="1:3" x14ac:dyDescent="0.25">
      <c r="A6" s="75" t="s">
        <v>90</v>
      </c>
      <c r="B6" s="80">
        <v>816</v>
      </c>
      <c r="C6" s="81" t="s">
        <v>87</v>
      </c>
    </row>
    <row r="7" spans="1:3" x14ac:dyDescent="0.25">
      <c r="A7" s="75" t="s">
        <v>91</v>
      </c>
      <c r="B7" s="80">
        <v>990</v>
      </c>
      <c r="C7" s="81" t="s">
        <v>87</v>
      </c>
    </row>
    <row r="8" spans="1:3" x14ac:dyDescent="0.25">
      <c r="A8" s="75" t="s">
        <v>92</v>
      </c>
      <c r="B8" s="80">
        <v>26</v>
      </c>
      <c r="C8" s="81" t="s">
        <v>87</v>
      </c>
    </row>
    <row r="9" spans="1:3" x14ac:dyDescent="0.25">
      <c r="A9" s="75" t="s">
        <v>93</v>
      </c>
      <c r="B9" s="80">
        <v>571</v>
      </c>
      <c r="C9" s="81" t="s">
        <v>87</v>
      </c>
    </row>
    <row r="10" spans="1:3" x14ac:dyDescent="0.25">
      <c r="A10" s="75" t="s">
        <v>94</v>
      </c>
      <c r="B10" s="80">
        <v>20000</v>
      </c>
      <c r="C10" s="81" t="s">
        <v>87</v>
      </c>
    </row>
    <row r="11" spans="1:3" x14ac:dyDescent="0.25">
      <c r="A11" s="75" t="s">
        <v>95</v>
      </c>
      <c r="B11" s="80">
        <v>1020</v>
      </c>
      <c r="C11" s="81" t="s">
        <v>87</v>
      </c>
    </row>
    <row r="12" spans="1:3" x14ac:dyDescent="0.25">
      <c r="A12" s="75" t="s">
        <v>96</v>
      </c>
      <c r="B12" s="80">
        <v>757</v>
      </c>
      <c r="C12" s="81" t="s">
        <v>87</v>
      </c>
    </row>
    <row r="13" spans="1:3" x14ac:dyDescent="0.25">
      <c r="A13" s="75" t="s">
        <v>97</v>
      </c>
      <c r="B13" s="80">
        <v>6</v>
      </c>
      <c r="C13" s="81" t="s">
        <v>87</v>
      </c>
    </row>
    <row r="14" spans="1:3" x14ac:dyDescent="0.25">
      <c r="A14" s="75" t="s">
        <v>98</v>
      </c>
      <c r="B14" s="80">
        <v>89</v>
      </c>
      <c r="C14" s="81" t="s">
        <v>87</v>
      </c>
    </row>
    <row r="15" spans="1:3" x14ac:dyDescent="0.25">
      <c r="A15" s="75" t="s">
        <v>99</v>
      </c>
      <c r="B15" s="80">
        <v>1442</v>
      </c>
      <c r="C15" s="81" t="s">
        <v>100</v>
      </c>
    </row>
    <row r="16" spans="1:3" x14ac:dyDescent="0.25">
      <c r="A16" s="75" t="s">
        <v>101</v>
      </c>
      <c r="B16" s="80">
        <v>14647</v>
      </c>
      <c r="C16" s="81" t="s">
        <v>100</v>
      </c>
    </row>
    <row r="17" spans="1:3" x14ac:dyDescent="0.25">
      <c r="A17" s="75" t="s">
        <v>102</v>
      </c>
      <c r="B17" s="80">
        <v>22794</v>
      </c>
      <c r="C17" s="81" t="s">
        <v>100</v>
      </c>
    </row>
    <row r="18" spans="1:3" x14ac:dyDescent="0.25">
      <c r="A18" s="75" t="s">
        <v>103</v>
      </c>
      <c r="B18" s="80">
        <v>2473</v>
      </c>
      <c r="C18" s="81" t="s">
        <v>100</v>
      </c>
    </row>
    <row r="19" spans="1:3" x14ac:dyDescent="0.25">
      <c r="A19" s="75" t="s">
        <v>104</v>
      </c>
      <c r="B19" s="80">
        <v>2469</v>
      </c>
      <c r="C19" s="81" t="s">
        <v>100</v>
      </c>
    </row>
    <row r="20" spans="1:3" x14ac:dyDescent="0.25">
      <c r="A20" s="75" t="s">
        <v>105</v>
      </c>
      <c r="B20" s="80">
        <v>492</v>
      </c>
      <c r="C20" s="81" t="s">
        <v>100</v>
      </c>
    </row>
    <row r="21" spans="1:3" x14ac:dyDescent="0.25">
      <c r="A21" s="75" t="s">
        <v>106</v>
      </c>
      <c r="B21" s="80">
        <v>410</v>
      </c>
      <c r="C21" s="81" t="s">
        <v>100</v>
      </c>
    </row>
    <row r="22" spans="1:3" x14ac:dyDescent="0.25">
      <c r="A22" s="75" t="s">
        <v>107</v>
      </c>
      <c r="B22" s="80">
        <v>311</v>
      </c>
      <c r="C22" s="81" t="s">
        <v>100</v>
      </c>
    </row>
    <row r="23" spans="1:3" x14ac:dyDescent="0.25">
      <c r="A23" s="75" t="s">
        <v>108</v>
      </c>
      <c r="B23" s="80">
        <v>250</v>
      </c>
      <c r="C23" s="81" t="s">
        <v>100</v>
      </c>
    </row>
    <row r="24" spans="1:3" x14ac:dyDescent="0.25">
      <c r="A24" s="75" t="s">
        <v>109</v>
      </c>
      <c r="B24" s="80">
        <v>26</v>
      </c>
      <c r="C24" s="81" t="s">
        <v>100</v>
      </c>
    </row>
    <row r="25" spans="1:3" x14ac:dyDescent="0.25">
      <c r="A25" s="75" t="s">
        <v>110</v>
      </c>
      <c r="B25" s="80">
        <v>370</v>
      </c>
      <c r="C25" s="81" t="s">
        <v>100</v>
      </c>
    </row>
    <row r="26" spans="1:3" x14ac:dyDescent="0.25">
      <c r="A26" s="75" t="s">
        <v>111</v>
      </c>
      <c r="B26" s="80">
        <v>86256000</v>
      </c>
      <c r="C26" s="81" t="s">
        <v>100</v>
      </c>
    </row>
    <row r="27" spans="1:3" x14ac:dyDescent="0.25">
      <c r="A27" s="75" t="s">
        <v>112</v>
      </c>
      <c r="B27" s="80">
        <v>525</v>
      </c>
      <c r="C27" s="81" t="s">
        <v>87</v>
      </c>
    </row>
    <row r="28" spans="1:3" x14ac:dyDescent="0.25">
      <c r="A28" s="75" t="s">
        <v>113</v>
      </c>
      <c r="B28" s="80">
        <v>100</v>
      </c>
      <c r="C28" s="81" t="s">
        <v>87</v>
      </c>
    </row>
    <row r="29" spans="1:3" x14ac:dyDescent="0.25">
      <c r="A29" s="75" t="s">
        <v>114</v>
      </c>
      <c r="B29" s="80">
        <v>146</v>
      </c>
      <c r="C29" s="81" t="s">
        <v>87</v>
      </c>
    </row>
    <row r="30" spans="1:3" x14ac:dyDescent="0.25">
      <c r="A30" s="75" t="s">
        <v>115</v>
      </c>
      <c r="B30" s="80">
        <v>40</v>
      </c>
      <c r="C30" s="81" t="s">
        <v>100</v>
      </c>
    </row>
    <row r="31" spans="1:3" x14ac:dyDescent="0.25">
      <c r="A31" s="75" t="s">
        <v>116</v>
      </c>
      <c r="B31" s="80">
        <v>5225</v>
      </c>
      <c r="C31" s="81" t="s">
        <v>87</v>
      </c>
    </row>
    <row r="32" spans="1:3" x14ac:dyDescent="0.25">
      <c r="A32" s="75" t="s">
        <v>117</v>
      </c>
      <c r="B32" s="80">
        <v>3180</v>
      </c>
      <c r="C32" s="81" t="s">
        <v>100</v>
      </c>
    </row>
    <row r="33" spans="1:3" x14ac:dyDescent="0.25">
      <c r="A33" s="75" t="s">
        <v>118</v>
      </c>
      <c r="B33" s="80">
        <v>55</v>
      </c>
      <c r="C33" s="81" t="s">
        <v>87</v>
      </c>
    </row>
    <row r="34" spans="1:3" x14ac:dyDescent="0.25">
      <c r="A34" s="75" t="s">
        <v>119</v>
      </c>
      <c r="B34" s="80">
        <v>1012</v>
      </c>
      <c r="C34" s="81" t="s">
        <v>100</v>
      </c>
    </row>
    <row r="35" spans="1:3" x14ac:dyDescent="0.25">
      <c r="A35" s="75" t="s">
        <v>120</v>
      </c>
      <c r="B35" s="80">
        <v>380</v>
      </c>
      <c r="C35" s="81" t="s">
        <v>87</v>
      </c>
    </row>
    <row r="36" spans="1:3" x14ac:dyDescent="0.25">
      <c r="A36" s="75" t="s">
        <v>121</v>
      </c>
      <c r="B36" s="80">
        <v>4000</v>
      </c>
      <c r="C36" s="81" t="s">
        <v>100</v>
      </c>
    </row>
    <row r="37" spans="1:3" x14ac:dyDescent="0.25">
      <c r="A37" s="75" t="s">
        <v>122</v>
      </c>
      <c r="B37" s="80">
        <v>50</v>
      </c>
      <c r="C37" s="81" t="s">
        <v>87</v>
      </c>
    </row>
    <row r="38" spans="1:3" x14ac:dyDescent="0.25">
      <c r="A38" s="75" t="s">
        <v>123</v>
      </c>
      <c r="B38" s="80">
        <v>1000</v>
      </c>
      <c r="C38" s="81" t="s">
        <v>100</v>
      </c>
    </row>
    <row r="39" spans="1:3" x14ac:dyDescent="0.25">
      <c r="A39" s="75" t="s">
        <v>124</v>
      </c>
      <c r="B39" s="80">
        <v>7529200</v>
      </c>
      <c r="C39" s="81" t="s">
        <v>100</v>
      </c>
    </row>
    <row r="40" spans="1:1" x14ac:dyDescent="0.25">
      <c r="A40" s="81"/>
    </row>
    <row r="41" spans="1:1" x14ac:dyDescent="0.25">
      <c r="A41" s="81"/>
    </row>
  </sheetData>
  <mergeCells count="1">
    <mergeCell ref="B1:C1"/>
  </mergeCells>
  <pageMargins left="0.7" right="0.7" top="0.75" bottom="0.75" header="0.3" footer="0.3"/>
  <pageSetup orientation="portrait" horizontalDpi="4294967295" verticalDpi="0" scale="100" fitToWidth="1" fitToHeight="1" firstPageNumber="1" useFirstPageNumber="1" copies="1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 zoomScale="100" zoomScaleNormal="100">
      <selection activeCell="D4" sqref="D4"/>
    </sheetView>
  </sheetViews>
  <sheetFormatPr defaultRowHeight="12.75" outlineLevelRow="0" outlineLevelCol="0" x14ac:dyDescent="0.2" customHeight="1"/>
  <cols>
    <col min="1" max="1" width="39.5703125" customWidth="1"/>
    <col min="3" max="3" width="13.140625" customWidth="1"/>
  </cols>
  <sheetData>
    <row r="1" spans="1:4" x14ac:dyDescent="0.25">
      <c r="A1" s="37" t="s">
        <v>24</v>
      </c>
      <c r="B1" s="38"/>
      <c r="C1" t="s">
        <v>58</v>
      </c>
      <c r="D1" t="s">
        <v>59</v>
      </c>
    </row>
    <row r="2" spans="1:3" x14ac:dyDescent="0.25">
      <c r="A2" s="37" t="s">
        <v>26</v>
      </c>
      <c r="B2" s="38"/>
      <c r="C2" t="s">
        <v>60</v>
      </c>
    </row>
    <row r="3" spans="1:3" x14ac:dyDescent="0.25">
      <c r="A3" s="37" t="s">
        <v>28</v>
      </c>
      <c r="B3" s="38"/>
      <c r="C3" t="s">
        <v>60</v>
      </c>
    </row>
  </sheetData>
  <mergeCells count="3">
    <mergeCell ref="A1:B1"/>
    <mergeCell ref="A2:B2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Guia entrenamiento Ver. 04 (2)</vt:lpstr>
      <vt:lpstr>Sheet1</vt:lpstr>
      <vt:lpstr>Hoja1</vt:lpstr>
      <vt:lpstr>Hoja2</vt:lpstr>
    </vt:vector>
  </TitlesOfParts>
  <Company>Hada S.A.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Dell4</dc:creator>
  <dc:title/>
  <dc:subject/>
  <dc:description/>
  <cp:keywords/>
  <cp:category/>
  <cp:lastModifiedBy>Eduardo San Miguel  Domínguez García</cp:lastModifiedBy>
  <cp:lastPrinted>2025-08-14T13:21:05Z</cp:lastPrinted>
  <cp:contentStatus/>
  <dcterms:created xsi:type="dcterms:W3CDTF">2002-01-15T20:43:04Z</dcterms:created>
  <dcterms:modified xsi:type="dcterms:W3CDTF">2025-12-17T19:07:29Z</dcterms:modified>
</cp:coreProperties>
</file>