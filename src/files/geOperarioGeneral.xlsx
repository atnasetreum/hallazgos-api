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eduar\proyects\hallazgos\hallazgos-api\src\files\"/>
    </mc:Choice>
  </mc:AlternateContent>
  <xr:revisionPtr revIDLastSave="0" documentId="13_ncr:1_{8C52A076-7905-47C0-90AF-E53553A6FFE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uia entrenamiento Ver. 04 (2)" sheetId="2" r:id="rId1"/>
    <sheet name="Sheet1" sheetId="5" r:id="rId2"/>
    <sheet name="Hoja1" sheetId="3" r:id="rId3"/>
    <sheet name="Hoja2" sheetId="4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5" i="2" l="1"/>
</calcChain>
</file>

<file path=xl/sharedStrings.xml><?xml version="1.0" encoding="utf-8"?>
<sst xmlns="http://schemas.openxmlformats.org/spreadsheetml/2006/main" count="140" uniqueCount="92">
  <si>
    <t xml:space="preserve">GUÍA DE ENTRENAMIENTO </t>
  </si>
  <si>
    <t>Código: RIE02
Versión: 01
Fecha:  2016-11-30</t>
  </si>
  <si>
    <t>DATOS DEL EMPLEADO</t>
  </si>
  <si>
    <t>NOMBRE</t>
  </si>
  <si>
    <t>FECHA INICIO ENTRENAMIENTO</t>
  </si>
  <si>
    <t>CARGO</t>
  </si>
  <si>
    <t xml:space="preserve"> ÁREA</t>
  </si>
  <si>
    <t>TEMA</t>
  </si>
  <si>
    <t>FECHA</t>
  </si>
  <si>
    <t xml:space="preserve">DURACIÓN (horas) </t>
  </si>
  <si>
    <t>NOMBRE RESPONSABLE ENTRENAMIENTO</t>
  </si>
  <si>
    <t>EVALUACIÓN</t>
  </si>
  <si>
    <t>FIRMA EMPLEADO</t>
  </si>
  <si>
    <t>OBSERVACIONES</t>
  </si>
  <si>
    <t>Generalidades de Control de Calidad</t>
  </si>
  <si>
    <t>Generalidades de Microbiología</t>
  </si>
  <si>
    <t>Generalidades de Buenas Prácticas de Manufactura</t>
  </si>
  <si>
    <t>1 DE 2</t>
  </si>
  <si>
    <t>NOTA  DEFINITIVA</t>
  </si>
  <si>
    <r>
      <t xml:space="preserve">Nota: Si la evaluación de entrenamiento es teórica debe tenerla disponible en la empresa debidamente calificadas  por el instructor  como evidencia ante un proceso de auditoria interna o externa.
El rango de Calificaciones para el entrenamiento es de 1.0 a 5.0 distribuido en tres niveles: Nivel bajo: 1 - 2.9 (requiere reentrenamiento) Nivel Normal: 3.0 a 4.4  (entrenamiento aprobado) Nivel Sobresaliente: 4.5 - 5.0
“Hago constar que he recibido a plena satisfacción el anterior programa de entrenamiento y me comprometo a cumplir los temas allí relacionados para el logro de los objetivos organizacionales”.
</t>
    </r>
    <r>
      <rPr>
        <b/>
        <sz val="10"/>
        <rFont val="Arial"/>
        <family val="2"/>
      </rPr>
      <t>OBSERVACIÓN:</t>
    </r>
    <r>
      <rPr>
        <sz val="10"/>
        <rFont val="Arial"/>
        <family val="2"/>
      </rPr>
      <t xml:space="preserve"> Para la documentación que se utilizo en los temas relacionados de entrenamiento ver la matriz seguimiento documental entrenamientos ( Código: FGHDPFO01)  
</t>
    </r>
  </si>
  <si>
    <t>CONCEPTO JEFE DE ÁREA:</t>
  </si>
  <si>
    <t>FIRMA JEFE DE AREA</t>
  </si>
  <si>
    <t>FIRMA JEFE RECURSOS HUMANOS</t>
  </si>
  <si>
    <t>2 DE 2</t>
  </si>
  <si>
    <t>Areas</t>
  </si>
  <si>
    <t>Tesoreria</t>
  </si>
  <si>
    <t>Innovacion</t>
  </si>
  <si>
    <t>Producción</t>
  </si>
  <si>
    <t>Contabilidad e Impuestos</t>
  </si>
  <si>
    <t>Ingenieria</t>
  </si>
  <si>
    <t>Gestión Humana</t>
  </si>
  <si>
    <t>Proyectos</t>
  </si>
  <si>
    <t xml:space="preserve">Sistemas y Sistema de Gestión </t>
  </si>
  <si>
    <t>Logistica</t>
  </si>
  <si>
    <t xml:space="preserve">Calidad </t>
  </si>
  <si>
    <t>Empaques</t>
  </si>
  <si>
    <t>Comercial</t>
  </si>
  <si>
    <t>Estatus</t>
  </si>
  <si>
    <t>OK</t>
  </si>
  <si>
    <t>ÑO</t>
  </si>
  <si>
    <t>Materiales</t>
  </si>
  <si>
    <t>Cantidad</t>
  </si>
  <si>
    <t>Hostapur OS Liquido</t>
  </si>
  <si>
    <t>L</t>
  </si>
  <si>
    <t>Glicerina</t>
  </si>
  <si>
    <t>Dietanolamida de coco</t>
  </si>
  <si>
    <t>Amphosol CS-50</t>
  </si>
  <si>
    <t>Fragancias de varios aromas</t>
  </si>
  <si>
    <t>Aceite mineral</t>
  </si>
  <si>
    <t>Tego betain F 50</t>
  </si>
  <si>
    <t>Ninol CAA</t>
  </si>
  <si>
    <t>Polyquaternium 7</t>
  </si>
  <si>
    <t>Dehyquart CC7</t>
  </si>
  <si>
    <t>Fenoxietanol</t>
  </si>
  <si>
    <t>Alcohol etílico 96°</t>
  </si>
  <si>
    <t>Tarimas de madera</t>
  </si>
  <si>
    <t>Kg</t>
  </si>
  <si>
    <t>Cartón</t>
  </si>
  <si>
    <t>Plástico</t>
  </si>
  <si>
    <t>Papel</t>
  </si>
  <si>
    <t>Mobiliario</t>
  </si>
  <si>
    <t>Tarimas de plástico</t>
  </si>
  <si>
    <t>PEG 40 Hidrogenado</t>
  </si>
  <si>
    <t>Sal tetrasódica</t>
  </si>
  <si>
    <t>Cutina GMS</t>
  </si>
  <si>
    <t>Glucamate DOE-120</t>
  </si>
  <si>
    <t>Metabeds microwax</t>
  </si>
  <si>
    <t>Jabón Base Opaca 80</t>
  </si>
  <si>
    <t xml:space="preserve">Microcare SB </t>
  </si>
  <si>
    <t>Microcare PEHG</t>
  </si>
  <si>
    <t>Microcare ITO (THOR)</t>
  </si>
  <si>
    <t>CARBOPOL ULTREZ 10</t>
  </si>
  <si>
    <t>CARBOPOL AQUA SF1</t>
  </si>
  <si>
    <t xml:space="preserve">Ácido cítrico </t>
  </si>
  <si>
    <t>ISP Captivates</t>
  </si>
  <si>
    <t>Salicilato de sodio</t>
  </si>
  <si>
    <t>Myritol 318</t>
  </si>
  <si>
    <t>Sal refinada yodada</t>
  </si>
  <si>
    <t>Hidróxido de sodio 50%</t>
  </si>
  <si>
    <t>Benzoato de sodio</t>
  </si>
  <si>
    <t>Vidrio</t>
  </si>
  <si>
    <t>Columna1</t>
  </si>
  <si>
    <t>Columna2</t>
  </si>
  <si>
    <t>Columna3</t>
  </si>
  <si>
    <t>Personas</t>
  </si>
  <si>
    <t>Comercio Exterior</t>
  </si>
  <si>
    <t>Kari de vacaciones</t>
  </si>
  <si>
    <t>Motivo</t>
  </si>
  <si>
    <t>No puede comer mole</t>
  </si>
  <si>
    <t>omar</t>
  </si>
  <si>
    <t>operatio</t>
  </si>
  <si>
    <t>montacargas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</si>
</sst>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5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0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9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0" xfId="1"/>
    <xf numFmtId="0" fontId="2" fillId="2" borderId="3" xfId="1" applyFill="1" applyBorder="1" applyAlignment="1">
      <alignment horizontal="center" vertical="center" wrapText="1"/>
    </xf>
    <xf numFmtId="0" fontId="2" fillId="0" borderId="1" xfId="1" applyBorder="1" applyAlignment="1">
      <alignment horizontal="center" vertical="center"/>
    </xf>
    <xf numFmtId="0" fontId="2" fillId="3" borderId="0" xfId="1" applyFill="1"/>
    <xf numFmtId="0" fontId="2" fillId="3" borderId="4" xfId="1" applyFill="1" applyBorder="1" applyAlignment="1">
      <alignment horizontal="center" wrapText="1"/>
    </xf>
    <xf numFmtId="0" fontId="2" fillId="3" borderId="5" xfId="1" applyFill="1" applyBorder="1" applyAlignment="1">
      <alignment horizontal="center" wrapText="1"/>
    </xf>
    <xf numFmtId="0" fontId="2" fillId="3" borderId="0" xfId="1" applyFill="1" applyAlignment="1">
      <alignment horizontal="center" wrapText="1"/>
    </xf>
    <xf numFmtId="0" fontId="2" fillId="0" borderId="0" xfId="1" applyAlignment="1">
      <alignment horizontal="left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4" xfId="1" applyFill="1" applyBorder="1" applyAlignment="1">
      <alignment horizontal="center"/>
    </xf>
    <xf numFmtId="0" fontId="2" fillId="0" borderId="6" xfId="1" applyBorder="1"/>
    <xf numFmtId="0" fontId="2" fillId="3" borderId="7" xfId="1" applyFill="1" applyBorder="1"/>
    <xf numFmtId="0" fontId="2" fillId="3" borderId="8" xfId="1" applyFill="1" applyBorder="1" applyAlignment="1">
      <alignment wrapText="1"/>
    </xf>
    <xf numFmtId="0" fontId="2" fillId="3" borderId="9" xfId="1" applyFill="1" applyBorder="1" applyAlignment="1">
      <alignment horizontal="center" wrapText="1"/>
    </xf>
    <xf numFmtId="0" fontId="2" fillId="3" borderId="10" xfId="1" applyFill="1" applyBorder="1"/>
    <xf numFmtId="0" fontId="2" fillId="3" borderId="4" xfId="1" applyFill="1" applyBorder="1"/>
    <xf numFmtId="0" fontId="2" fillId="0" borderId="3" xfId="1" applyBorder="1" applyAlignment="1">
      <alignment horizontal="center" vertical="center" wrapText="1"/>
    </xf>
    <xf numFmtId="165" fontId="2" fillId="0" borderId="1" xfId="1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4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2" fillId="0" borderId="1" xfId="0" applyFont="1" applyBorder="1"/>
    <xf numFmtId="0" fontId="0" fillId="0" borderId="1" xfId="0" applyBorder="1"/>
    <xf numFmtId="0" fontId="1" fillId="4" borderId="1" xfId="0" applyFont="1" applyFill="1" applyBorder="1"/>
    <xf numFmtId="0" fontId="2" fillId="0" borderId="1" xfId="0" applyFont="1" applyBorder="1" applyAlignment="1">
      <alignment horizontal="center"/>
    </xf>
    <xf numFmtId="0" fontId="2" fillId="0" borderId="11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 vertical="center" wrapText="1"/>
    </xf>
    <xf numFmtId="0" fontId="2" fillId="0" borderId="1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1" xfId="1" applyBorder="1" applyAlignment="1">
      <alignment horizontal="left" vertical="center" wrapText="1"/>
    </xf>
    <xf numFmtId="0" fontId="2" fillId="0" borderId="12" xfId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6" xfId="1" applyBorder="1" applyAlignment="1">
      <alignment horizontal="left" vertical="center" wrapText="1"/>
    </xf>
    <xf numFmtId="0" fontId="2" fillId="0" borderId="1" xfId="1" applyBorder="1" applyAlignment="1">
      <alignment horizontal="left" vertical="center" wrapText="1"/>
    </xf>
    <xf numFmtId="0" fontId="2" fillId="0" borderId="17" xfId="1" applyBorder="1" applyAlignment="1">
      <alignment horizontal="center" vertical="center" wrapText="1"/>
    </xf>
    <xf numFmtId="0" fontId="2" fillId="0" borderId="18" xfId="1" applyBorder="1" applyAlignment="1">
      <alignment horizontal="center" vertical="center" wrapText="1"/>
    </xf>
    <xf numFmtId="0" fontId="3" fillId="0" borderId="19" xfId="1" applyFont="1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1" fillId="0" borderId="11" xfId="1" applyFont="1" applyBorder="1" applyAlignment="1">
      <alignment horizontal="center" vertical="center" wrapText="1"/>
    </xf>
    <xf numFmtId="0" fontId="1" fillId="0" borderId="21" xfId="1" applyFont="1" applyBorder="1" applyAlignment="1">
      <alignment horizontal="center" vertical="center" wrapText="1"/>
    </xf>
    <xf numFmtId="0" fontId="1" fillId="0" borderId="15" xfId="1" applyFont="1" applyBorder="1" applyAlignment="1">
      <alignment horizontal="center" vertical="center" wrapText="1"/>
    </xf>
    <xf numFmtId="0" fontId="1" fillId="2" borderId="11" xfId="1" applyFont="1" applyFill="1" applyBorder="1" applyAlignment="1">
      <alignment horizontal="center" vertical="center" wrapText="1"/>
    </xf>
    <xf numFmtId="0" fontId="1" fillId="2" borderId="12" xfId="1" applyFont="1" applyFill="1" applyBorder="1" applyAlignment="1">
      <alignment horizontal="center" vertical="center" wrapText="1"/>
    </xf>
    <xf numFmtId="0" fontId="1" fillId="2" borderId="14" xfId="1" applyFont="1" applyFill="1" applyBorder="1" applyAlignment="1">
      <alignment horizontal="center" vertical="center" wrapText="1"/>
    </xf>
    <xf numFmtId="0" fontId="1" fillId="2" borderId="22" xfId="1" applyFont="1" applyFill="1" applyBorder="1" applyAlignment="1">
      <alignment horizontal="center" vertical="center" wrapText="1"/>
    </xf>
    <xf numFmtId="0" fontId="1" fillId="2" borderId="23" xfId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 wrapText="1"/>
    </xf>
    <xf numFmtId="0" fontId="1" fillId="2" borderId="13" xfId="1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wrapText="1"/>
    </xf>
    <xf numFmtId="14" fontId="2" fillId="0" borderId="1" xfId="1" applyNumberFormat="1" applyBorder="1" applyAlignment="1">
      <alignment horizontal="center" vertical="center"/>
    </xf>
    <xf numFmtId="14" fontId="2" fillId="0" borderId="13" xfId="1" applyNumberFormat="1" applyBorder="1" applyAlignment="1">
      <alignment horizontal="center" vertical="center"/>
    </xf>
    <xf numFmtId="0" fontId="2" fillId="2" borderId="24" xfId="1" applyFill="1" applyBorder="1" applyAlignment="1">
      <alignment horizontal="center" vertical="center" wrapText="1"/>
    </xf>
    <xf numFmtId="0" fontId="2" fillId="2" borderId="25" xfId="1" applyFill="1" applyBorder="1" applyAlignment="1">
      <alignment horizontal="center" vertical="center" wrapText="1"/>
    </xf>
    <xf numFmtId="0" fontId="2" fillId="2" borderId="14" xfId="1" applyFill="1" applyBorder="1" applyAlignment="1">
      <alignment horizontal="center" vertical="center" wrapText="1"/>
    </xf>
    <xf numFmtId="0" fontId="2" fillId="2" borderId="15" xfId="1" applyFill="1" applyBorder="1" applyAlignment="1">
      <alignment horizontal="center" vertical="center" wrapText="1"/>
    </xf>
    <xf numFmtId="0" fontId="2" fillId="3" borderId="4" xfId="1" applyFill="1" applyBorder="1"/>
    <xf numFmtId="0" fontId="2" fillId="3" borderId="26" xfId="1" applyFill="1" applyBorder="1"/>
    <xf numFmtId="0" fontId="1" fillId="3" borderId="27" xfId="1" applyFont="1" applyFill="1" applyBorder="1" applyAlignment="1">
      <alignment vertical="center" wrapText="1"/>
    </xf>
    <xf numFmtId="0" fontId="1" fillId="3" borderId="28" xfId="1" applyFont="1" applyFill="1" applyBorder="1" applyAlignment="1">
      <alignment vertical="center" wrapText="1"/>
    </xf>
    <xf numFmtId="0" fontId="1" fillId="3" borderId="29" xfId="1" applyFont="1" applyFill="1" applyBorder="1" applyAlignment="1">
      <alignment vertical="center" wrapText="1"/>
    </xf>
    <xf numFmtId="0" fontId="2" fillId="3" borderId="30" xfId="1" applyFill="1" applyBorder="1"/>
    <xf numFmtId="0" fontId="2" fillId="3" borderId="8" xfId="1" applyFill="1" applyBorder="1"/>
    <xf numFmtId="0" fontId="2" fillId="0" borderId="11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3" borderId="10" xfId="1" applyFill="1" applyBorder="1" applyAlignment="1">
      <alignment horizontal="center"/>
    </xf>
    <xf numFmtId="0" fontId="2" fillId="3" borderId="4" xfId="1" applyFill="1" applyBorder="1" applyAlignment="1">
      <alignment horizontal="center"/>
    </xf>
    <xf numFmtId="0" fontId="1" fillId="2" borderId="21" xfId="1" applyFont="1" applyFill="1" applyBorder="1" applyAlignment="1">
      <alignment horizontal="center" vertical="center" wrapText="1"/>
    </xf>
    <xf numFmtId="164" fontId="2" fillId="0" borderId="14" xfId="1" applyNumberFormat="1" applyBorder="1" applyAlignment="1">
      <alignment horizontal="left" vertical="center" wrapText="1"/>
    </xf>
    <xf numFmtId="164" fontId="2" fillId="0" borderId="21" xfId="1" applyNumberFormat="1" applyBorder="1" applyAlignment="1">
      <alignment horizontal="left" vertical="center" wrapText="1"/>
    </xf>
    <xf numFmtId="164" fontId="2" fillId="0" borderId="15" xfId="1" applyNumberFormat="1" applyBorder="1" applyAlignment="1">
      <alignment horizontal="left" vertical="center" wrapText="1"/>
    </xf>
    <xf numFmtId="14" fontId="2" fillId="3" borderId="11" xfId="1" applyNumberFormat="1" applyFill="1" applyBorder="1" applyAlignment="1">
      <alignment horizontal="left" wrapText="1"/>
    </xf>
    <xf numFmtId="14" fontId="2" fillId="3" borderId="21" xfId="1" applyNumberFormat="1" applyFill="1" applyBorder="1" applyAlignment="1">
      <alignment horizontal="left" wrapText="1"/>
    </xf>
    <xf numFmtId="14" fontId="2" fillId="3" borderId="15" xfId="1" applyNumberFormat="1" applyFill="1" applyBorder="1" applyAlignment="1">
      <alignment horizontal="left" wrapText="1"/>
    </xf>
    <xf numFmtId="0" fontId="2" fillId="3" borderId="5" xfId="1" applyFill="1" applyBorder="1" applyAlignment="1">
      <alignment horizontal="center" wrapText="1"/>
    </xf>
    <xf numFmtId="0" fontId="2" fillId="3" borderId="30" xfId="1" applyFill="1" applyBorder="1" applyAlignment="1">
      <alignment horizontal="center" wrapText="1"/>
    </xf>
    <xf numFmtId="0" fontId="2" fillId="3" borderId="8" xfId="1" applyFill="1" applyBorder="1" applyAlignment="1">
      <alignment horizontal="center" wrapText="1"/>
    </xf>
    <xf numFmtId="14" fontId="1" fillId="3" borderId="11" xfId="1" applyNumberFormat="1" applyFont="1" applyFill="1" applyBorder="1" applyAlignment="1">
      <alignment horizontal="left"/>
    </xf>
    <xf numFmtId="14" fontId="1" fillId="3" borderId="21" xfId="1" applyNumberFormat="1" applyFont="1" applyFill="1" applyBorder="1" applyAlignment="1">
      <alignment horizontal="left"/>
    </xf>
    <xf numFmtId="14" fontId="1" fillId="3" borderId="15" xfId="1" applyNumberFormat="1" applyFont="1" applyFill="1" applyBorder="1" applyAlignment="1">
      <alignment horizontal="left"/>
    </xf>
    <xf numFmtId="0" fontId="2" fillId="0" borderId="21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447675</xdr:colOff>
      <xdr:row>0</xdr:row>
      <xdr:rowOff>123825</xdr:rowOff>
    </xdr:from>
    <xdr:to>
      <xdr:col>0</xdr:col>
      <xdr:colOff>1190625</xdr:colOff>
      <xdr:row>0</xdr:row>
      <xdr:rowOff>704850</xdr:rowOff>
    </xdr:to>
    <xdr:pic>
      <xdr:nvPicPr>
        <xdr:cNvPr id="6352" name="Imagen 1">
          <a:extLst>
            <a:ext uri="{FF2B5EF4-FFF2-40B4-BE49-F238E27FC236}">
              <a16:creationId xmlns:a16="http://schemas.microsoft.com/office/drawing/2014/main" id="{FB5D68C8-D551-EA57-6609-BD16D95C66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26" t="21638" r="18272" b="5379"/>
        <a:stretch>
          <a:fillRect/>
        </a:stretch>
      </xdr:blipFill>
      <xdr:spPr bwMode="auto">
        <a:xfrm>
          <a:off x="447675" y="123825"/>
          <a:ext cx="742950" cy="581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D82AB4-2475-42FA-9068-EE6DCF9104AE}" name="Tabla4" displayName="Tabla4" ref="A2:C39" totalsRowShown="0">
  <tableColumns count="3">
    <tableColumn id="1" xr3:uid="{D7650164-2B6A-4AC8-B6EB-EF6B9E27864D}" name="Columna1" dataDxfId="2"/>
    <tableColumn id="4" xr3:uid="{210632D6-7502-4AC8-A7D8-B181604D0C1A}" name="Columna2" dataDxfId="1"/>
    <tableColumn id="5" xr3:uid="{EAA3C466-D9FA-407D-9D8F-A838BE480E89}" name="Columna3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"/>
  <sheetViews>
    <sheetView tabSelected="1" zoomScale="82" zoomScaleNormal="82" zoomScaleSheetLayoutView="75" workbookViewId="0">
      <selection activeCell="E61" sqref="E61"/>
    </sheetView>
  </sheetViews>
  <sheetFormatPr defaultColWidth="11.42578125" defaultRowHeight="12.75" x14ac:dyDescent="0.2"/>
  <cols>
    <col min="1" max="1" width="17.85546875" style="3" customWidth="1"/>
    <col min="2" max="2" width="47.85546875" style="3" customWidth="1"/>
    <col min="3" max="3" width="16.42578125" style="3" customWidth="1"/>
    <col min="4" max="4" width="11.85546875" style="3" customWidth="1"/>
    <col min="5" max="5" width="22.42578125" style="3" customWidth="1"/>
    <col min="6" max="6" width="16.5703125" style="3" customWidth="1"/>
    <col min="7" max="7" width="20.42578125" style="3" customWidth="1"/>
    <col min="8" max="8" width="38.42578125" style="3" customWidth="1"/>
    <col min="9" max="9" width="2.140625" style="3" customWidth="1"/>
    <col min="10" max="10" width="11.42578125" style="3"/>
    <col min="11" max="26" width="8.28515625" style="3" customWidth="1"/>
    <col min="27" max="42" width="16.140625" style="3" customWidth="1"/>
    <col min="43" max="16384" width="11.42578125" style="3"/>
  </cols>
  <sheetData>
    <row r="1" spans="1:9" ht="55.5" customHeight="1" x14ac:dyDescent="0.2">
      <c r="A1" s="14"/>
      <c r="B1" s="42" t="s">
        <v>0</v>
      </c>
      <c r="C1" s="42"/>
      <c r="D1" s="42"/>
      <c r="E1" s="42"/>
      <c r="F1" s="42"/>
      <c r="G1" s="43"/>
      <c r="H1" s="44" t="s">
        <v>1</v>
      </c>
      <c r="I1" s="45"/>
    </row>
    <row r="2" spans="1:9" ht="30" customHeight="1" x14ac:dyDescent="0.2">
      <c r="A2" s="46" t="s">
        <v>2</v>
      </c>
      <c r="B2" s="47"/>
      <c r="C2" s="47"/>
      <c r="D2" s="47"/>
      <c r="E2" s="47"/>
      <c r="F2" s="47"/>
      <c r="G2" s="47"/>
      <c r="H2" s="47"/>
      <c r="I2" s="48"/>
    </row>
    <row r="3" spans="1:9" ht="24" customHeight="1" x14ac:dyDescent="0.2">
      <c r="A3" s="49" t="s">
        <v>3</v>
      </c>
      <c r="B3" s="50"/>
      <c r="C3" s="51" t="s">
        <v>4</v>
      </c>
      <c r="D3" s="50"/>
      <c r="E3" s="52" t="s">
        <v>5</v>
      </c>
      <c r="F3" s="53"/>
      <c r="G3" s="54" t="s">
        <v>6</v>
      </c>
      <c r="H3" s="54"/>
      <c r="I3" s="55"/>
    </row>
    <row r="4" spans="1:9" ht="27.75" customHeight="1" x14ac:dyDescent="0.2">
      <c r="A4" s="56"/>
      <c r="B4" s="57"/>
      <c r="C4" s="58"/>
      <c r="D4" s="59"/>
      <c r="E4" s="34"/>
      <c r="F4" s="34"/>
      <c r="G4" s="60"/>
      <c r="H4" s="60"/>
      <c r="I4" s="61"/>
    </row>
    <row r="5" spans="1:9" ht="39" customHeight="1" x14ac:dyDescent="0.2">
      <c r="A5" s="62" t="s">
        <v>7</v>
      </c>
      <c r="B5" s="63"/>
      <c r="C5" s="4" t="s">
        <v>8</v>
      </c>
      <c r="D5" s="4" t="s">
        <v>9</v>
      </c>
      <c r="E5" s="4" t="s">
        <v>10</v>
      </c>
      <c r="F5" s="4" t="s">
        <v>11</v>
      </c>
      <c r="G5" s="4" t="s">
        <v>12</v>
      </c>
      <c r="H5" s="64" t="s">
        <v>13</v>
      </c>
      <c r="I5" s="65"/>
    </row>
    <row r="6" spans="1:9" ht="27.75" customHeight="1" x14ac:dyDescent="0.2">
      <c r="A6" s="73"/>
      <c r="B6" s="74"/>
      <c r="C6" s="21"/>
      <c r="D6" s="11"/>
      <c r="E6" s="12"/>
      <c r="F6" s="5"/>
      <c r="G6" s="5"/>
      <c r="H6" s="34"/>
      <c r="I6" s="35"/>
    </row>
    <row r="7" spans="1:9" ht="131.25" customHeight="1" x14ac:dyDescent="0.2">
      <c r="A7" s="32"/>
      <c r="B7" s="33"/>
      <c r="C7" s="21"/>
      <c r="D7" s="11"/>
      <c r="E7" s="12"/>
      <c r="F7" s="1"/>
      <c r="G7" s="5"/>
      <c r="H7" s="34"/>
      <c r="I7" s="35"/>
    </row>
    <row r="8" spans="1:9" ht="36" customHeight="1" x14ac:dyDescent="0.2">
      <c r="A8" s="40"/>
      <c r="B8" s="41"/>
      <c r="C8" s="21"/>
      <c r="D8" s="5"/>
      <c r="E8" s="20"/>
      <c r="F8" s="11"/>
      <c r="G8" s="11"/>
      <c r="H8" s="38"/>
      <c r="I8" s="39"/>
    </row>
    <row r="9" spans="1:9" ht="36" customHeight="1" x14ac:dyDescent="0.2">
      <c r="A9" s="40"/>
      <c r="B9" s="41"/>
      <c r="C9" s="21"/>
      <c r="D9" s="5"/>
      <c r="E9" s="20"/>
      <c r="F9" s="1"/>
      <c r="G9" s="11"/>
      <c r="H9" s="38"/>
      <c r="I9" s="39"/>
    </row>
    <row r="10" spans="1:9" ht="36" customHeight="1" x14ac:dyDescent="0.2">
      <c r="A10" s="40"/>
      <c r="B10" s="41"/>
      <c r="C10" s="21"/>
      <c r="D10" s="5"/>
      <c r="E10" s="20"/>
      <c r="F10" s="11"/>
      <c r="G10" s="11"/>
      <c r="H10" s="38"/>
      <c r="I10" s="39"/>
    </row>
    <row r="11" spans="1:9" ht="36" customHeight="1" x14ac:dyDescent="0.2">
      <c r="A11" s="36"/>
      <c r="B11" s="37"/>
      <c r="C11" s="21"/>
      <c r="D11" s="5"/>
      <c r="E11" s="20"/>
      <c r="F11" s="11"/>
      <c r="G11" s="11"/>
      <c r="H11" s="38"/>
      <c r="I11" s="39"/>
    </row>
    <row r="12" spans="1:9" ht="61.5" customHeight="1" x14ac:dyDescent="0.2">
      <c r="A12" s="40"/>
      <c r="B12" s="41"/>
      <c r="C12" s="21"/>
      <c r="D12" s="11"/>
      <c r="E12" s="12"/>
      <c r="F12" s="1"/>
      <c r="G12" s="5"/>
      <c r="H12" s="34"/>
      <c r="I12" s="35"/>
    </row>
    <row r="13" spans="1:9" ht="48.75" customHeight="1" x14ac:dyDescent="0.2">
      <c r="A13" s="32"/>
      <c r="B13" s="33"/>
      <c r="C13" s="21"/>
      <c r="D13" s="11"/>
      <c r="E13" s="12"/>
      <c r="F13" s="1"/>
      <c r="G13" s="2"/>
      <c r="H13" s="34"/>
      <c r="I13" s="35"/>
    </row>
    <row r="14" spans="1:9" ht="48.75" customHeight="1" x14ac:dyDescent="0.2">
      <c r="A14" s="32"/>
      <c r="B14" s="33"/>
      <c r="C14" s="21"/>
      <c r="D14" s="11"/>
      <c r="E14" s="12"/>
      <c r="F14" s="1"/>
      <c r="G14" s="2"/>
      <c r="H14" s="38"/>
      <c r="I14" s="39"/>
    </row>
    <row r="15" spans="1:9" ht="34.5" customHeight="1" x14ac:dyDescent="0.2">
      <c r="A15" s="32"/>
      <c r="B15" s="33"/>
      <c r="C15" s="21"/>
      <c r="D15" s="11"/>
      <c r="E15" s="12"/>
      <c r="F15" s="1"/>
      <c r="G15" s="2"/>
      <c r="H15" s="38"/>
      <c r="I15" s="39"/>
    </row>
    <row r="16" spans="1:9" ht="34.5" customHeight="1" x14ac:dyDescent="0.2">
      <c r="A16" s="32"/>
      <c r="B16" s="33"/>
      <c r="C16" s="21"/>
      <c r="D16" s="22"/>
      <c r="E16" s="12"/>
      <c r="F16" s="1"/>
      <c r="G16" s="2"/>
      <c r="H16" s="34"/>
      <c r="I16" s="35"/>
    </row>
    <row r="17" spans="1:9" ht="61.5" customHeight="1" x14ac:dyDescent="0.2">
      <c r="A17" s="32"/>
      <c r="B17" s="33"/>
      <c r="C17" s="21"/>
      <c r="D17" s="22"/>
      <c r="E17" s="12"/>
      <c r="F17" s="1"/>
      <c r="G17" s="2"/>
      <c r="H17" s="34"/>
      <c r="I17" s="35"/>
    </row>
    <row r="18" spans="1:9" ht="61.5" customHeight="1" x14ac:dyDescent="0.2">
      <c r="A18" s="32"/>
      <c r="B18" s="33"/>
      <c r="C18" s="21"/>
      <c r="D18" s="22"/>
      <c r="E18" s="12"/>
      <c r="F18" s="23"/>
      <c r="G18" s="2"/>
      <c r="H18" s="34"/>
      <c r="I18" s="35"/>
    </row>
    <row r="19" spans="1:9" ht="34.5" customHeight="1" x14ac:dyDescent="0.2">
      <c r="A19" s="32"/>
      <c r="B19" s="33"/>
      <c r="C19" s="21"/>
      <c r="D19" s="11"/>
      <c r="E19" s="12"/>
      <c r="F19" s="1"/>
      <c r="G19" s="31"/>
      <c r="H19" s="34"/>
      <c r="I19" s="35"/>
    </row>
    <row r="20" spans="1:9" ht="25.5" customHeight="1" x14ac:dyDescent="0.2">
      <c r="A20" s="32"/>
      <c r="B20" s="33"/>
      <c r="C20" s="21"/>
      <c r="D20" s="11"/>
      <c r="E20" s="12"/>
      <c r="F20" s="1"/>
      <c r="G20" s="31"/>
      <c r="H20" s="34"/>
      <c r="I20" s="35"/>
    </row>
    <row r="21" spans="1:9" ht="134.25" customHeight="1" x14ac:dyDescent="0.2">
      <c r="A21" s="32"/>
      <c r="B21" s="33"/>
      <c r="C21" s="21"/>
      <c r="D21" s="11"/>
      <c r="E21" s="12"/>
      <c r="F21" s="1"/>
      <c r="G21" s="31"/>
      <c r="H21" s="34"/>
      <c r="I21" s="35"/>
    </row>
    <row r="22" spans="1:9" ht="35.25" customHeight="1" x14ac:dyDescent="0.2">
      <c r="A22" s="32"/>
      <c r="B22" s="33"/>
      <c r="C22" s="21"/>
      <c r="D22" s="11"/>
      <c r="E22" s="12"/>
      <c r="F22" s="1"/>
      <c r="G22" s="31"/>
      <c r="H22" s="34"/>
      <c r="I22" s="35"/>
    </row>
    <row r="23" spans="1:9" ht="30.75" customHeight="1" x14ac:dyDescent="0.2">
      <c r="A23" s="32"/>
      <c r="B23" s="33"/>
      <c r="C23" s="21"/>
      <c r="D23" s="11"/>
      <c r="E23" s="12"/>
      <c r="F23" s="1"/>
      <c r="G23" s="31"/>
      <c r="H23" s="34"/>
      <c r="I23" s="35"/>
    </row>
    <row r="24" spans="1:9" x14ac:dyDescent="0.2">
      <c r="A24" s="56" t="s">
        <v>17</v>
      </c>
      <c r="B24" s="90"/>
      <c r="C24" s="90"/>
      <c r="D24" s="90"/>
      <c r="E24" s="90"/>
      <c r="F24" s="90"/>
      <c r="G24" s="90"/>
      <c r="H24" s="90"/>
      <c r="I24" s="91"/>
    </row>
    <row r="25" spans="1:9" x14ac:dyDescent="0.2">
      <c r="A25" s="49" t="s">
        <v>18</v>
      </c>
      <c r="B25" s="77"/>
      <c r="C25" s="77"/>
      <c r="D25" s="77"/>
      <c r="E25" s="50"/>
      <c r="F25" s="78" t="e">
        <f>+AVERAGE(F6:F24)</f>
        <v>#DIV/0!</v>
      </c>
      <c r="G25" s="79"/>
      <c r="H25" s="79"/>
      <c r="I25" s="80"/>
    </row>
    <row r="26" spans="1:9" x14ac:dyDescent="0.2">
      <c r="A26" s="81" t="s">
        <v>19</v>
      </c>
      <c r="B26" s="82"/>
      <c r="C26" s="82"/>
      <c r="D26" s="82"/>
      <c r="E26" s="82"/>
      <c r="F26" s="82"/>
      <c r="G26" s="82"/>
      <c r="H26" s="82"/>
      <c r="I26" s="83"/>
    </row>
    <row r="27" spans="1:9" ht="24.75" customHeight="1" x14ac:dyDescent="0.2">
      <c r="A27" s="87" t="s">
        <v>20</v>
      </c>
      <c r="B27" s="88"/>
      <c r="C27" s="88"/>
      <c r="D27" s="88"/>
      <c r="E27" s="88"/>
      <c r="F27" s="88"/>
      <c r="G27" s="88"/>
      <c r="H27" s="88"/>
      <c r="I27" s="89"/>
    </row>
    <row r="28" spans="1:9" x14ac:dyDescent="0.2">
      <c r="A28" s="68"/>
      <c r="B28" s="69"/>
      <c r="C28" s="69"/>
      <c r="D28" s="69"/>
      <c r="E28" s="69"/>
      <c r="F28" s="69"/>
      <c r="G28" s="69"/>
      <c r="H28" s="69"/>
      <c r="I28" s="70"/>
    </row>
    <row r="29" spans="1:9" x14ac:dyDescent="0.2">
      <c r="A29" s="15"/>
      <c r="B29" s="6"/>
      <c r="C29" s="6"/>
      <c r="D29" s="6"/>
      <c r="E29" s="6"/>
      <c r="F29" s="6"/>
      <c r="G29" s="6"/>
      <c r="H29" s="71"/>
      <c r="I29" s="72"/>
    </row>
    <row r="30" spans="1:9" ht="13.5" thickBot="1" x14ac:dyDescent="0.25">
      <c r="A30" s="75"/>
      <c r="B30" s="76"/>
      <c r="C30" s="6"/>
      <c r="D30" s="76"/>
      <c r="E30" s="76"/>
      <c r="F30" s="76"/>
      <c r="G30" s="6"/>
      <c r="H30" s="7"/>
      <c r="I30" s="16"/>
    </row>
    <row r="31" spans="1:9" ht="25.5" x14ac:dyDescent="0.2">
      <c r="A31" s="17" t="s">
        <v>12</v>
      </c>
      <c r="B31" s="8"/>
      <c r="C31" s="9"/>
      <c r="D31" s="84" t="s">
        <v>21</v>
      </c>
      <c r="E31" s="84"/>
      <c r="F31" s="84"/>
      <c r="G31" s="9"/>
      <c r="H31" s="85" t="s">
        <v>22</v>
      </c>
      <c r="I31" s="86"/>
    </row>
    <row r="32" spans="1:9" ht="13.5" thickBot="1" x14ac:dyDescent="0.25">
      <c r="A32" s="18"/>
      <c r="B32" s="19"/>
      <c r="C32" s="19"/>
      <c r="D32" s="19"/>
      <c r="E32" s="13" t="s">
        <v>23</v>
      </c>
      <c r="F32" s="19"/>
      <c r="G32" s="19"/>
      <c r="H32" s="66"/>
      <c r="I32" s="67"/>
    </row>
    <row r="36" spans="1:1" x14ac:dyDescent="0.2">
      <c r="A36" s="10"/>
    </row>
  </sheetData>
  <mergeCells count="61">
    <mergeCell ref="H31:I31"/>
    <mergeCell ref="A27:I27"/>
    <mergeCell ref="H13:I13"/>
    <mergeCell ref="H14:I14"/>
    <mergeCell ref="A24:I24"/>
    <mergeCell ref="A14:B14"/>
    <mergeCell ref="A13:B13"/>
    <mergeCell ref="A15:B15"/>
    <mergeCell ref="H15:I15"/>
    <mergeCell ref="A16:B16"/>
    <mergeCell ref="H16:I16"/>
    <mergeCell ref="A17:B17"/>
    <mergeCell ref="A18:B18"/>
    <mergeCell ref="H18:I18"/>
    <mergeCell ref="H17:I17"/>
    <mergeCell ref="A19:B19"/>
    <mergeCell ref="H32:I32"/>
    <mergeCell ref="A28:I28"/>
    <mergeCell ref="H29:I29"/>
    <mergeCell ref="A6:B6"/>
    <mergeCell ref="H6:I6"/>
    <mergeCell ref="A7:B7"/>
    <mergeCell ref="H7:I7"/>
    <mergeCell ref="A12:B12"/>
    <mergeCell ref="H12:I12"/>
    <mergeCell ref="A8:B8"/>
    <mergeCell ref="A30:B30"/>
    <mergeCell ref="D30:F30"/>
    <mergeCell ref="A25:E25"/>
    <mergeCell ref="F25:I25"/>
    <mergeCell ref="A26:I26"/>
    <mergeCell ref="D31:F31"/>
    <mergeCell ref="H8:I8"/>
    <mergeCell ref="A10:B10"/>
    <mergeCell ref="B1:G1"/>
    <mergeCell ref="H1:I1"/>
    <mergeCell ref="A2:I2"/>
    <mergeCell ref="A3:B3"/>
    <mergeCell ref="C3:D3"/>
    <mergeCell ref="E3:F3"/>
    <mergeCell ref="G3:I3"/>
    <mergeCell ref="A4:B4"/>
    <mergeCell ref="C4:D4"/>
    <mergeCell ref="E4:F4"/>
    <mergeCell ref="G4:I4"/>
    <mergeCell ref="A5:B5"/>
    <mergeCell ref="H5:I5"/>
    <mergeCell ref="A11:B11"/>
    <mergeCell ref="H11:I11"/>
    <mergeCell ref="H9:I9"/>
    <mergeCell ref="A9:B9"/>
    <mergeCell ref="H10:I10"/>
    <mergeCell ref="A22:B22"/>
    <mergeCell ref="H22:I22"/>
    <mergeCell ref="A23:B23"/>
    <mergeCell ref="H23:I23"/>
    <mergeCell ref="H19:I19"/>
    <mergeCell ref="A20:B20"/>
    <mergeCell ref="H20:I20"/>
    <mergeCell ref="A21:B21"/>
    <mergeCell ref="H21:I21"/>
  </mergeCells>
  <printOptions horizontalCentered="1"/>
  <pageMargins left="0" right="0" top="0.39370078740157483" bottom="0" header="0" footer="0"/>
  <pageSetup scale="77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B8360-51CC-4E00-864E-83DC56231456}">
  <dimension ref="A1:D3"/>
  <sheetViews>
    <sheetView workbookViewId="0">
      <selection activeCell="D4" sqref="A1:D4"/>
    </sheetView>
  </sheetViews>
  <sheetFormatPr defaultRowHeight="12.75" x14ac:dyDescent="0.2"/>
  <cols>
    <col min="1" max="1" width="39.5703125" customWidth="1"/>
    <col min="3" max="3" width="13.140625" customWidth="1"/>
  </cols>
  <sheetData>
    <row r="1" spans="1:4" x14ac:dyDescent="0.2">
      <c r="A1" s="40" t="s">
        <v>14</v>
      </c>
      <c r="B1" s="41"/>
      <c r="C1" t="s">
        <v>90</v>
      </c>
      <c r="D1" t="s">
        <v>89</v>
      </c>
    </row>
    <row r="2" spans="1:4" x14ac:dyDescent="0.2">
      <c r="A2" s="40" t="s">
        <v>15</v>
      </c>
      <c r="B2" s="41"/>
      <c r="C2" t="s">
        <v>91</v>
      </c>
    </row>
    <row r="3" spans="1:4" x14ac:dyDescent="0.2">
      <c r="A3" s="40" t="s">
        <v>16</v>
      </c>
      <c r="B3" s="41"/>
      <c r="C3" t="s">
        <v>91</v>
      </c>
    </row>
  </sheetData>
  <mergeCells count="3">
    <mergeCell ref="A1:B1"/>
    <mergeCell ref="A2:B2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E479A-E171-452C-9B81-77B5DBD1E61C}">
  <dimension ref="A1:D14"/>
  <sheetViews>
    <sheetView workbookViewId="0">
      <selection activeCell="D1" sqref="A1:D14"/>
    </sheetView>
  </sheetViews>
  <sheetFormatPr defaultColWidth="11.42578125" defaultRowHeight="12.75" x14ac:dyDescent="0.2"/>
  <cols>
    <col min="1" max="1" width="26.7109375" bestFit="1" customWidth="1"/>
    <col min="4" max="4" width="18.42578125" bestFit="1" customWidth="1"/>
  </cols>
  <sheetData>
    <row r="1" spans="1:4" x14ac:dyDescent="0.2">
      <c r="A1" s="30" t="s">
        <v>24</v>
      </c>
      <c r="B1" s="30" t="s">
        <v>37</v>
      </c>
      <c r="C1" s="30" t="s">
        <v>84</v>
      </c>
      <c r="D1" s="30" t="s">
        <v>87</v>
      </c>
    </row>
    <row r="2" spans="1:4" x14ac:dyDescent="0.2">
      <c r="A2" s="28" t="s">
        <v>25</v>
      </c>
      <c r="B2" s="28" t="s">
        <v>39</v>
      </c>
      <c r="C2" s="29">
        <v>0</v>
      </c>
      <c r="D2" s="28" t="s">
        <v>88</v>
      </c>
    </row>
    <row r="3" spans="1:4" x14ac:dyDescent="0.2">
      <c r="A3" s="28" t="s">
        <v>26</v>
      </c>
      <c r="B3" s="28" t="s">
        <v>38</v>
      </c>
      <c r="C3" s="29">
        <v>4</v>
      </c>
      <c r="D3" s="29"/>
    </row>
    <row r="4" spans="1:4" x14ac:dyDescent="0.2">
      <c r="A4" s="28" t="s">
        <v>27</v>
      </c>
      <c r="B4" s="28" t="s">
        <v>38</v>
      </c>
      <c r="C4" s="29">
        <v>4</v>
      </c>
      <c r="D4" s="29"/>
    </row>
    <row r="5" spans="1:4" x14ac:dyDescent="0.2">
      <c r="A5" s="28" t="s">
        <v>28</v>
      </c>
      <c r="B5" s="28" t="s">
        <v>38</v>
      </c>
      <c r="C5" s="29">
        <v>5</v>
      </c>
      <c r="D5" s="29"/>
    </row>
    <row r="6" spans="1:4" x14ac:dyDescent="0.2">
      <c r="A6" s="28" t="s">
        <v>29</v>
      </c>
      <c r="B6" s="28" t="s">
        <v>38</v>
      </c>
      <c r="C6" s="29">
        <v>5</v>
      </c>
      <c r="D6" s="29"/>
    </row>
    <row r="7" spans="1:4" x14ac:dyDescent="0.2">
      <c r="A7" s="28" t="s">
        <v>30</v>
      </c>
      <c r="B7" s="28" t="s">
        <v>38</v>
      </c>
      <c r="C7" s="29">
        <v>6</v>
      </c>
      <c r="D7" s="29"/>
    </row>
    <row r="8" spans="1:4" x14ac:dyDescent="0.2">
      <c r="A8" s="28" t="s">
        <v>31</v>
      </c>
      <c r="B8" s="28" t="s">
        <v>38</v>
      </c>
      <c r="C8" s="29">
        <v>3</v>
      </c>
      <c r="D8" s="29"/>
    </row>
    <row r="9" spans="1:4" x14ac:dyDescent="0.2">
      <c r="A9" s="28" t="s">
        <v>85</v>
      </c>
      <c r="B9" s="28" t="s">
        <v>38</v>
      </c>
      <c r="C9" s="29">
        <v>2</v>
      </c>
      <c r="D9" s="29"/>
    </row>
    <row r="10" spans="1:4" x14ac:dyDescent="0.2">
      <c r="A10" s="28" t="s">
        <v>32</v>
      </c>
      <c r="B10" s="28" t="s">
        <v>38</v>
      </c>
      <c r="C10" s="29">
        <v>3</v>
      </c>
      <c r="D10" s="29"/>
    </row>
    <row r="11" spans="1:4" x14ac:dyDescent="0.2">
      <c r="A11" s="28" t="s">
        <v>33</v>
      </c>
      <c r="B11" s="28" t="s">
        <v>38</v>
      </c>
      <c r="C11" s="29">
        <v>5</v>
      </c>
      <c r="D11" s="29"/>
    </row>
    <row r="12" spans="1:4" x14ac:dyDescent="0.2">
      <c r="A12" s="28" t="s">
        <v>34</v>
      </c>
      <c r="B12" s="28" t="s">
        <v>38</v>
      </c>
      <c r="C12" s="29">
        <v>8</v>
      </c>
      <c r="D12" s="29"/>
    </row>
    <row r="13" spans="1:4" x14ac:dyDescent="0.2">
      <c r="A13" s="28" t="s">
        <v>35</v>
      </c>
      <c r="B13" s="28" t="s">
        <v>38</v>
      </c>
      <c r="C13" s="29">
        <v>2</v>
      </c>
      <c r="D13" s="28" t="s">
        <v>86</v>
      </c>
    </row>
    <row r="14" spans="1:4" x14ac:dyDescent="0.2">
      <c r="A14" s="28" t="s">
        <v>36</v>
      </c>
      <c r="B14" s="28" t="s">
        <v>38</v>
      </c>
      <c r="C14" s="29">
        <v>3</v>
      </c>
      <c r="D14" s="29"/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ABC5A-73A3-4766-BEBD-F66CEE44C7DD}">
  <dimension ref="A1:C41"/>
  <sheetViews>
    <sheetView workbookViewId="0">
      <selection activeCell="E17" sqref="E17"/>
    </sheetView>
  </sheetViews>
  <sheetFormatPr defaultColWidth="11.42578125" defaultRowHeight="12.75" x14ac:dyDescent="0.2"/>
  <cols>
    <col min="1" max="1" width="24.140625" bestFit="1" customWidth="1"/>
  </cols>
  <sheetData>
    <row r="1" spans="1:3" x14ac:dyDescent="0.2">
      <c r="A1" s="26" t="s">
        <v>40</v>
      </c>
      <c r="B1" s="92" t="s">
        <v>41</v>
      </c>
      <c r="C1" s="92"/>
    </row>
    <row r="2" spans="1:3" hidden="1" x14ac:dyDescent="0.2">
      <c r="A2" s="27" t="s">
        <v>81</v>
      </c>
      <c r="B2" s="25" t="s">
        <v>82</v>
      </c>
      <c r="C2" s="24" t="s">
        <v>83</v>
      </c>
    </row>
    <row r="3" spans="1:3" x14ac:dyDescent="0.2">
      <c r="A3" s="27" t="s">
        <v>42</v>
      </c>
      <c r="B3" s="25">
        <v>1200</v>
      </c>
      <c r="C3" s="24" t="s">
        <v>43</v>
      </c>
    </row>
    <row r="4" spans="1:3" x14ac:dyDescent="0.2">
      <c r="A4" s="27" t="s">
        <v>44</v>
      </c>
      <c r="B4" s="25">
        <v>6500</v>
      </c>
      <c r="C4" s="24" t="s">
        <v>43</v>
      </c>
    </row>
    <row r="5" spans="1:3" x14ac:dyDescent="0.2">
      <c r="A5" s="27" t="s">
        <v>45</v>
      </c>
      <c r="B5" s="25">
        <v>3000</v>
      </c>
      <c r="C5" s="24" t="s">
        <v>43</v>
      </c>
    </row>
    <row r="6" spans="1:3" x14ac:dyDescent="0.2">
      <c r="A6" s="27" t="s">
        <v>46</v>
      </c>
      <c r="B6" s="25">
        <v>816</v>
      </c>
      <c r="C6" s="24" t="s">
        <v>43</v>
      </c>
    </row>
    <row r="7" spans="1:3" x14ac:dyDescent="0.2">
      <c r="A7" s="27" t="s">
        <v>47</v>
      </c>
      <c r="B7" s="25">
        <v>990</v>
      </c>
      <c r="C7" s="24" t="s">
        <v>43</v>
      </c>
    </row>
    <row r="8" spans="1:3" x14ac:dyDescent="0.2">
      <c r="A8" s="27" t="s">
        <v>48</v>
      </c>
      <c r="B8" s="25">
        <v>26</v>
      </c>
      <c r="C8" s="24" t="s">
        <v>43</v>
      </c>
    </row>
    <row r="9" spans="1:3" x14ac:dyDescent="0.2">
      <c r="A9" s="27" t="s">
        <v>49</v>
      </c>
      <c r="B9" s="25">
        <v>571</v>
      </c>
      <c r="C9" s="24" t="s">
        <v>43</v>
      </c>
    </row>
    <row r="10" spans="1:3" x14ac:dyDescent="0.2">
      <c r="A10" s="27" t="s">
        <v>50</v>
      </c>
      <c r="B10" s="25">
        <v>20000</v>
      </c>
      <c r="C10" s="24" t="s">
        <v>43</v>
      </c>
    </row>
    <row r="11" spans="1:3" x14ac:dyDescent="0.2">
      <c r="A11" s="27" t="s">
        <v>51</v>
      </c>
      <c r="B11" s="25">
        <v>1020</v>
      </c>
      <c r="C11" s="24" t="s">
        <v>43</v>
      </c>
    </row>
    <row r="12" spans="1:3" x14ac:dyDescent="0.2">
      <c r="A12" s="27" t="s">
        <v>52</v>
      </c>
      <c r="B12" s="25">
        <v>757</v>
      </c>
      <c r="C12" s="24" t="s">
        <v>43</v>
      </c>
    </row>
    <row r="13" spans="1:3" x14ac:dyDescent="0.2">
      <c r="A13" s="27" t="s">
        <v>53</v>
      </c>
      <c r="B13" s="25">
        <v>6</v>
      </c>
      <c r="C13" s="24" t="s">
        <v>43</v>
      </c>
    </row>
    <row r="14" spans="1:3" x14ac:dyDescent="0.2">
      <c r="A14" s="27" t="s">
        <v>54</v>
      </c>
      <c r="B14" s="25">
        <v>89</v>
      </c>
      <c r="C14" s="24" t="s">
        <v>43</v>
      </c>
    </row>
    <row r="15" spans="1:3" x14ac:dyDescent="0.2">
      <c r="A15" s="27" t="s">
        <v>55</v>
      </c>
      <c r="B15" s="25">
        <v>1442</v>
      </c>
      <c r="C15" s="24" t="s">
        <v>56</v>
      </c>
    </row>
    <row r="16" spans="1:3" x14ac:dyDescent="0.2">
      <c r="A16" s="27" t="s">
        <v>57</v>
      </c>
      <c r="B16" s="25">
        <v>14647</v>
      </c>
      <c r="C16" s="24" t="s">
        <v>56</v>
      </c>
    </row>
    <row r="17" spans="1:3" x14ac:dyDescent="0.2">
      <c r="A17" s="27" t="s">
        <v>58</v>
      </c>
      <c r="B17" s="25">
        <v>22794</v>
      </c>
      <c r="C17" s="24" t="s">
        <v>56</v>
      </c>
    </row>
    <row r="18" spans="1:3" x14ac:dyDescent="0.2">
      <c r="A18" s="27" t="s">
        <v>59</v>
      </c>
      <c r="B18" s="25">
        <v>2473</v>
      </c>
      <c r="C18" s="24" t="s">
        <v>56</v>
      </c>
    </row>
    <row r="19" spans="1:3" x14ac:dyDescent="0.2">
      <c r="A19" s="27" t="s">
        <v>60</v>
      </c>
      <c r="B19" s="25">
        <v>2469</v>
      </c>
      <c r="C19" s="24" t="s">
        <v>56</v>
      </c>
    </row>
    <row r="20" spans="1:3" x14ac:dyDescent="0.2">
      <c r="A20" s="27" t="s">
        <v>61</v>
      </c>
      <c r="B20" s="25">
        <v>492</v>
      </c>
      <c r="C20" s="24" t="s">
        <v>56</v>
      </c>
    </row>
    <row r="21" spans="1:3" x14ac:dyDescent="0.2">
      <c r="A21" s="27" t="s">
        <v>62</v>
      </c>
      <c r="B21" s="25">
        <v>410</v>
      </c>
      <c r="C21" s="24" t="s">
        <v>56</v>
      </c>
    </row>
    <row r="22" spans="1:3" x14ac:dyDescent="0.2">
      <c r="A22" s="27" t="s">
        <v>63</v>
      </c>
      <c r="B22" s="25">
        <v>311</v>
      </c>
      <c r="C22" s="24" t="s">
        <v>56</v>
      </c>
    </row>
    <row r="23" spans="1:3" x14ac:dyDescent="0.2">
      <c r="A23" s="27" t="s">
        <v>64</v>
      </c>
      <c r="B23" s="25">
        <v>250</v>
      </c>
      <c r="C23" s="24" t="s">
        <v>56</v>
      </c>
    </row>
    <row r="24" spans="1:3" x14ac:dyDescent="0.2">
      <c r="A24" s="27" t="s">
        <v>65</v>
      </c>
      <c r="B24" s="25">
        <v>26</v>
      </c>
      <c r="C24" s="24" t="s">
        <v>56</v>
      </c>
    </row>
    <row r="25" spans="1:3" x14ac:dyDescent="0.2">
      <c r="A25" s="27" t="s">
        <v>66</v>
      </c>
      <c r="B25" s="25">
        <v>370</v>
      </c>
      <c r="C25" s="24" t="s">
        <v>56</v>
      </c>
    </row>
    <row r="26" spans="1:3" x14ac:dyDescent="0.2">
      <c r="A26" s="27" t="s">
        <v>67</v>
      </c>
      <c r="B26" s="25">
        <v>86256000</v>
      </c>
      <c r="C26" s="24" t="s">
        <v>56</v>
      </c>
    </row>
    <row r="27" spans="1:3" x14ac:dyDescent="0.2">
      <c r="A27" s="27" t="s">
        <v>68</v>
      </c>
      <c r="B27" s="25">
        <v>525</v>
      </c>
      <c r="C27" s="24" t="s">
        <v>43</v>
      </c>
    </row>
    <row r="28" spans="1:3" x14ac:dyDescent="0.2">
      <c r="A28" s="27" t="s">
        <v>69</v>
      </c>
      <c r="B28" s="25">
        <v>100</v>
      </c>
      <c r="C28" s="24" t="s">
        <v>43</v>
      </c>
    </row>
    <row r="29" spans="1:3" x14ac:dyDescent="0.2">
      <c r="A29" s="27" t="s">
        <v>70</v>
      </c>
      <c r="B29" s="25">
        <v>146</v>
      </c>
      <c r="C29" s="24" t="s">
        <v>43</v>
      </c>
    </row>
    <row r="30" spans="1:3" x14ac:dyDescent="0.2">
      <c r="A30" s="27" t="s">
        <v>71</v>
      </c>
      <c r="B30" s="25">
        <v>40</v>
      </c>
      <c r="C30" s="24" t="s">
        <v>56</v>
      </c>
    </row>
    <row r="31" spans="1:3" x14ac:dyDescent="0.2">
      <c r="A31" s="27" t="s">
        <v>72</v>
      </c>
      <c r="B31" s="25">
        <v>5225</v>
      </c>
      <c r="C31" s="24" t="s">
        <v>43</v>
      </c>
    </row>
    <row r="32" spans="1:3" x14ac:dyDescent="0.2">
      <c r="A32" s="27" t="s">
        <v>73</v>
      </c>
      <c r="B32" s="25">
        <v>3180</v>
      </c>
      <c r="C32" s="24" t="s">
        <v>56</v>
      </c>
    </row>
    <row r="33" spans="1:3" x14ac:dyDescent="0.2">
      <c r="A33" s="27" t="s">
        <v>74</v>
      </c>
      <c r="B33" s="25">
        <v>55</v>
      </c>
      <c r="C33" s="24" t="s">
        <v>43</v>
      </c>
    </row>
    <row r="34" spans="1:3" x14ac:dyDescent="0.2">
      <c r="A34" s="27" t="s">
        <v>75</v>
      </c>
      <c r="B34" s="25">
        <v>1012</v>
      </c>
      <c r="C34" s="24" t="s">
        <v>56</v>
      </c>
    </row>
    <row r="35" spans="1:3" x14ac:dyDescent="0.2">
      <c r="A35" s="27" t="s">
        <v>76</v>
      </c>
      <c r="B35" s="25">
        <v>380</v>
      </c>
      <c r="C35" s="24" t="s">
        <v>43</v>
      </c>
    </row>
    <row r="36" spans="1:3" x14ac:dyDescent="0.2">
      <c r="A36" s="27" t="s">
        <v>77</v>
      </c>
      <c r="B36" s="25">
        <v>4000</v>
      </c>
      <c r="C36" s="24" t="s">
        <v>56</v>
      </c>
    </row>
    <row r="37" spans="1:3" x14ac:dyDescent="0.2">
      <c r="A37" s="27" t="s">
        <v>78</v>
      </c>
      <c r="B37" s="25">
        <v>50</v>
      </c>
      <c r="C37" s="24" t="s">
        <v>43</v>
      </c>
    </row>
    <row r="38" spans="1:3" x14ac:dyDescent="0.2">
      <c r="A38" s="27" t="s">
        <v>79</v>
      </c>
      <c r="B38" s="25">
        <v>1000</v>
      </c>
      <c r="C38" s="24" t="s">
        <v>56</v>
      </c>
    </row>
    <row r="39" spans="1:3" x14ac:dyDescent="0.2">
      <c r="A39" s="27" t="s">
        <v>80</v>
      </c>
      <c r="B39" s="25">
        <v>7529200</v>
      </c>
      <c r="C39" s="24" t="s">
        <v>56</v>
      </c>
    </row>
    <row r="40" spans="1:3" x14ac:dyDescent="0.2">
      <c r="A40" s="24"/>
    </row>
    <row r="41" spans="1:3" x14ac:dyDescent="0.2">
      <c r="A41" s="24"/>
    </row>
  </sheetData>
  <mergeCells count="1">
    <mergeCell ref="B1:C1"/>
  </mergeCells>
  <pageMargins left="0.7" right="0.7" top="0.75" bottom="0.75" header="0.3" footer="0.3"/>
  <pageSetup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LongProperties xmlns="http://schemas.microsoft.com/office/2006/metadata/longProperties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25040A21B6C0B4DAD6A4A01C7D738FF" ma:contentTypeVersion="14" ma:contentTypeDescription="Crear nuevo documento." ma:contentTypeScope="" ma:versionID="a942d2c141cf3d2f503a3772f082487d">
  <xsd:schema xmlns:xsd="http://www.w3.org/2001/XMLSchema" xmlns:xs="http://www.w3.org/2001/XMLSchema" xmlns:p="http://schemas.microsoft.com/office/2006/metadata/properties" xmlns:ns2="a37af1ee-9152-44d4-b447-8af1d1bb59e8" xmlns:ns3="79cc9dd1-df6d-441a-a0b4-ff482f600b8c" targetNamespace="http://schemas.microsoft.com/office/2006/metadata/properties" ma:root="true" ma:fieldsID="175775575e6489816cf62581b5bb7970" ns2:_="" ns3:_="">
    <xsd:import namespace="a37af1ee-9152-44d4-b447-8af1d1bb59e8"/>
    <xsd:import namespace="79cc9dd1-df6d-441a-a0b4-ff482f600b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7af1ee-9152-44d4-b447-8af1d1bb5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08efb6c6-9ede-4585-a84f-20731d724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cc9dd1-df6d-441a-a0b4-ff482f600b8c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38930ed-3832-4339-8f0d-b50b8cfacc12}" ma:internalName="TaxCatchAll" ma:showField="CatchAllData" ma:web="79cc9dd1-df6d-441a-a0b4-ff482f600b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8C814-F910-4046-8DF2-10F4284CB23A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D75F0ADA-CCC4-4671-AD81-146B4A5EA0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D40BD7-8535-49C9-9805-FFA2A2A7C7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7af1ee-9152-44d4-b447-8af1d1bb59e8"/>
    <ds:schemaRef ds:uri="79cc9dd1-df6d-441a-a0b4-ff482f600b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Guia entrenamiento Ver. 04 (2)</vt:lpstr>
      <vt:lpstr>Sheet1</vt:lpstr>
      <vt:lpstr>Hoja1</vt:lpstr>
      <vt:lpstr>Hoja2</vt:lpstr>
    </vt:vector>
  </TitlesOfParts>
  <Manager/>
  <Company>Hada S.A.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Dell4</dc:creator>
  <cp:keywords/>
  <dc:description/>
  <cp:lastModifiedBy>Eduardo San Miguel  Domínguez García</cp:lastModifiedBy>
  <cp:revision/>
  <cp:lastPrinted>2025-08-14T13:21:05Z</cp:lastPrinted>
  <dcterms:created xsi:type="dcterms:W3CDTF">2002-01-15T20:43:04Z</dcterms:created>
  <dcterms:modified xsi:type="dcterms:W3CDTF">2025-12-17T19:07:29Z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Gabriel Garcia</vt:lpwstr>
  </property>
  <property fmtid="{D5CDD505-2E9C-101B-9397-08002B2CF9AE}" pid="3" name="Order">
    <vt:lpwstr>1662000.00000000</vt:lpwstr>
  </property>
  <property fmtid="{D5CDD505-2E9C-101B-9397-08002B2CF9AE}" pid="4" name="display_urn:schemas-microsoft-com:office:office#Author">
    <vt:lpwstr>Gabriel Garcia</vt:lpwstr>
  </property>
</Properties>
</file>